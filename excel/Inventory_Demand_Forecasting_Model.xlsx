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955" windowHeight="1488" tabRatio="500"/>
  </bookViews>
  <sheets>
    <sheet name="README" sheetId="1" r:id="rId1"/>
    <sheet name="SKU_Master" sheetId="2" r:id="rId2"/>
    <sheet name="Demand_Stats" sheetId="3" r:id="rId3"/>
    <sheet name="ABC_Analysis" sheetId="4" r:id="rId4"/>
    <sheet name="Reorder_Point_Calc" sheetId="5" r:id="rId5"/>
    <sheet name="Fill_Rate_Impact" sheetId="6" r:id="rId6"/>
    <sheet name="Forecast_Model" sheetId="7" r:id="rId7"/>
    <sheet name="Reorder_Aler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<sst xmlns="http://schemas.openxmlformats.org/spreadsheetml/2006/main" count="1804" uniqueCount="477">
  <si>
    <t>Inventory &amp; Demand Forecasting Analytics for E-commerce Fulfillment</t>
  </si>
  <si>
    <t>Excel + SQL demand forecasting model, ABC analysis, and reorder-point / safety-stock calculator</t>
  </si>
  <si>
    <t>Sheet</t>
  </si>
  <si>
    <t>Contents</t>
  </si>
  <si>
    <t>SKU_Master</t>
  </si>
  <si>
    <t>SKU catalog: category, cost, price, supplier lead time, MOQ (input data).</t>
  </si>
  <si>
    <t>Demand_Stats</t>
  </si>
  <si>
    <t>90-day avg &amp; std-dev daily demand per SKU, sourced from SQL (02_demand_stats.sql).</t>
  </si>
  <si>
    <t>ABC_Analysis</t>
  </si>
  <si>
    <t>Revenue-based Pareto classification (A/B/C) — LIVE Excel formulas (RANK, running SUM, IF).</t>
  </si>
  <si>
    <t>Reorder_Point_Calc</t>
  </si>
  <si>
    <t>Safety stock &amp; reorder point per SKU — LIVE formulas, service level driven by ABC class.</t>
  </si>
  <si>
    <t>Fill_Rate_Impact</t>
  </si>
  <si>
    <t>Baseline vs simulated fill rate after applying the new reorder policy (before/after).</t>
  </si>
  <si>
    <t>Forecast_Model</t>
  </si>
  <si>
    <t>ML demand-forecast model comparison (WMAPE) and next-week forecast per SKU.</t>
  </si>
  <si>
    <t>Reorder_Alerts</t>
  </si>
  <si>
    <t>Automated, prioritized reorder alert list (urgency-ranked) — the AI-automation output.</t>
  </si>
  <si>
    <t>Color legend:</t>
  </si>
  <si>
    <t>Blue text = hardcoded input / external source</t>
  </si>
  <si>
    <t>Black text = live Excel formula</t>
  </si>
  <si>
    <t>SKU ID</t>
  </si>
  <si>
    <t>SKU Name</t>
  </si>
  <si>
    <t>Category</t>
  </si>
  <si>
    <t>Unit Cost (₹)</t>
  </si>
  <si>
    <t>Unit Price (₹)</t>
  </si>
  <si>
    <t>Lead Time (days)</t>
  </si>
  <si>
    <t>MOQ (units)</t>
  </si>
  <si>
    <t>Fulfillment Centers</t>
  </si>
  <si>
    <t>SKU0001</t>
  </si>
  <si>
    <t>Mobiles Item 001</t>
  </si>
  <si>
    <t>Mobiles &amp; Accessories</t>
  </si>
  <si>
    <t>FC03|FC05</t>
  </si>
  <si>
    <t>SKU0002</t>
  </si>
  <si>
    <t>Mobiles Item 002</t>
  </si>
  <si>
    <t>FC05|FC02|FC03|FC04</t>
  </si>
  <si>
    <t>SKU0003</t>
  </si>
  <si>
    <t>Mobiles Item 003</t>
  </si>
  <si>
    <t>FC02|FC05|FC01|FC03</t>
  </si>
  <si>
    <t>SKU0004</t>
  </si>
  <si>
    <t>Mobiles Item 004</t>
  </si>
  <si>
    <t>FC04|FC03|FC02</t>
  </si>
  <si>
    <t>SKU0005</t>
  </si>
  <si>
    <t>Mobiles Item 005</t>
  </si>
  <si>
    <t>FC01|FC04|FC03</t>
  </si>
  <si>
    <t>SKU0006</t>
  </si>
  <si>
    <t>Mobiles Item 006</t>
  </si>
  <si>
    <t>FC05|FC03|FC04|FC02</t>
  </si>
  <si>
    <t>SKU0007</t>
  </si>
  <si>
    <t>Mobiles Item 007</t>
  </si>
  <si>
    <t>FC01|FC03|FC04</t>
  </si>
  <si>
    <t>SKU0008</t>
  </si>
  <si>
    <t>Mobiles Item 008</t>
  </si>
  <si>
    <t>SKU0009</t>
  </si>
  <si>
    <t>Mobiles Item 009</t>
  </si>
  <si>
    <t>FC02|FC03</t>
  </si>
  <si>
    <t>SKU0010</t>
  </si>
  <si>
    <t>Mobiles Item 010</t>
  </si>
  <si>
    <t>FC01|FC03|FC05</t>
  </si>
  <si>
    <t>SKU0011</t>
  </si>
  <si>
    <t>Mobiles Item 011</t>
  </si>
  <si>
    <t>FC04|FC05</t>
  </si>
  <si>
    <t>SKU0012</t>
  </si>
  <si>
    <t>Mobiles Item 012</t>
  </si>
  <si>
    <t>FC05|FC02|FC01</t>
  </si>
  <si>
    <t>SKU0013</t>
  </si>
  <si>
    <t>Mobiles Item 013</t>
  </si>
  <si>
    <t>FC03|FC01|FC02|FC05</t>
  </si>
  <si>
    <t>SKU0014</t>
  </si>
  <si>
    <t>Mobiles Item 014</t>
  </si>
  <si>
    <t>FC05|FC02|FC01|FC03</t>
  </si>
  <si>
    <t>SKU0015</t>
  </si>
  <si>
    <t>Mobiles Item 015</t>
  </si>
  <si>
    <t>FC05|FC01|FC03</t>
  </si>
  <si>
    <t>SKU0016</t>
  </si>
  <si>
    <t>Mobiles Item 016</t>
  </si>
  <si>
    <t>FC01|FC04|FC02</t>
  </si>
  <si>
    <t>SKU0017</t>
  </si>
  <si>
    <t>Mobiles Item 017</t>
  </si>
  <si>
    <t>FC04|FC01|FC05</t>
  </si>
  <si>
    <t>SKU0018</t>
  </si>
  <si>
    <t>Mobiles Item 018</t>
  </si>
  <si>
    <t>FC03|FC02|FC01|FC05</t>
  </si>
  <si>
    <t>SKU0019</t>
  </si>
  <si>
    <t>Mobiles Item 019</t>
  </si>
  <si>
    <t>FC04|FC03|FC02|FC01</t>
  </si>
  <si>
    <t>SKU0020</t>
  </si>
  <si>
    <t>Mobiles Item 020</t>
  </si>
  <si>
    <t>SKU0021</t>
  </si>
  <si>
    <t>Electronics Item 001</t>
  </si>
  <si>
    <t>Electronics &amp; Appliances</t>
  </si>
  <si>
    <t>FC05|FC01|FC02|FC04</t>
  </si>
  <si>
    <t>SKU0022</t>
  </si>
  <si>
    <t>Electronics Item 002</t>
  </si>
  <si>
    <t>FC04|FC03|FC01</t>
  </si>
  <si>
    <t>SKU0023</t>
  </si>
  <si>
    <t>Electronics Item 003</t>
  </si>
  <si>
    <t>FC04|FC02|FC01|FC05</t>
  </si>
  <si>
    <t>SKU0024</t>
  </si>
  <si>
    <t>Electronics Item 004</t>
  </si>
  <si>
    <t>FC02|FC03|FC05|FC01</t>
  </si>
  <si>
    <t>SKU0025</t>
  </si>
  <si>
    <t>Electronics Item 005</t>
  </si>
  <si>
    <t>FC01|FC05|FC02</t>
  </si>
  <si>
    <t>SKU0026</t>
  </si>
  <si>
    <t>Electronics Item 006</t>
  </si>
  <si>
    <t>FC05|FC04|FC03</t>
  </si>
  <si>
    <t>SKU0027</t>
  </si>
  <si>
    <t>Electronics Item 007</t>
  </si>
  <si>
    <t>FC05|FC04|FC02|FC01</t>
  </si>
  <si>
    <t>SKU0028</t>
  </si>
  <si>
    <t>Electronics Item 008</t>
  </si>
  <si>
    <t>FC05|FC03|FC01</t>
  </si>
  <si>
    <t>SKU0029</t>
  </si>
  <si>
    <t>Electronics Item 009</t>
  </si>
  <si>
    <t>FC03|FC02|FC01|FC04</t>
  </si>
  <si>
    <t>SKU0030</t>
  </si>
  <si>
    <t>Electronics Item 010</t>
  </si>
  <si>
    <t>FC05|FC03|FC04</t>
  </si>
  <si>
    <t>SKU0031</t>
  </si>
  <si>
    <t>Electronics Item 011</t>
  </si>
  <si>
    <t>FC05|FC01|FC02</t>
  </si>
  <si>
    <t>SKU0032</t>
  </si>
  <si>
    <t>Electronics Item 012</t>
  </si>
  <si>
    <t>FC05|FC01</t>
  </si>
  <si>
    <t>SKU0033</t>
  </si>
  <si>
    <t>Electronics Item 013</t>
  </si>
  <si>
    <t>FC02|FC01</t>
  </si>
  <si>
    <t>SKU0034</t>
  </si>
  <si>
    <t>Electronics Item 014</t>
  </si>
  <si>
    <t>FC05|FC02|FC03</t>
  </si>
  <si>
    <t>SKU0035</t>
  </si>
  <si>
    <t>Electronics Item 015</t>
  </si>
  <si>
    <t>FC01|FC02</t>
  </si>
  <si>
    <t>SKU0036</t>
  </si>
  <si>
    <t>Electronics Item 016</t>
  </si>
  <si>
    <t>SKU0037</t>
  </si>
  <si>
    <t>Electronics Item 017</t>
  </si>
  <si>
    <t>FC01|FC05|FC03|FC04</t>
  </si>
  <si>
    <t>SKU0038</t>
  </si>
  <si>
    <t>Electronics Item 018</t>
  </si>
  <si>
    <t>SKU0039</t>
  </si>
  <si>
    <t>Electronics Item 019</t>
  </si>
  <si>
    <t>FC04|FC05|FC02</t>
  </si>
  <si>
    <t>SKU0040</t>
  </si>
  <si>
    <t>Electronics Item 020</t>
  </si>
  <si>
    <t>FC03|FC05|FC02</t>
  </si>
  <si>
    <t>SKU0041</t>
  </si>
  <si>
    <t>Fashion Item 001</t>
  </si>
  <si>
    <t>Fashion &amp; Apparel</t>
  </si>
  <si>
    <t>FC04|FC01</t>
  </si>
  <si>
    <t>SKU0042</t>
  </si>
  <si>
    <t>Fashion Item 002</t>
  </si>
  <si>
    <t>FC03|FC04</t>
  </si>
  <si>
    <t>SKU0043</t>
  </si>
  <si>
    <t>Fashion Item 003</t>
  </si>
  <si>
    <t>FC02|FC04|FC05</t>
  </si>
  <si>
    <t>SKU0044</t>
  </si>
  <si>
    <t>Fashion Item 004</t>
  </si>
  <si>
    <t>FC03|FC01</t>
  </si>
  <si>
    <t>SKU0045</t>
  </si>
  <si>
    <t>Fashion Item 005</t>
  </si>
  <si>
    <t>SKU0046</t>
  </si>
  <si>
    <t>Fashion Item 006</t>
  </si>
  <si>
    <t>FC01|FC03|FC02|FC04</t>
  </si>
  <si>
    <t>SKU0047</t>
  </si>
  <si>
    <t>Fashion Item 007</t>
  </si>
  <si>
    <t>FC01|FC05</t>
  </si>
  <si>
    <t>SKU0048</t>
  </si>
  <si>
    <t>Fashion Item 008</t>
  </si>
  <si>
    <t>FC03|FC02|FC05|FC01</t>
  </si>
  <si>
    <t>SKU0049</t>
  </si>
  <si>
    <t>Fashion Item 009</t>
  </si>
  <si>
    <t>FC03|FC02</t>
  </si>
  <si>
    <t>SKU0050</t>
  </si>
  <si>
    <t>Fashion Item 010</t>
  </si>
  <si>
    <t>SKU0051</t>
  </si>
  <si>
    <t>Fashion Item 011</t>
  </si>
  <si>
    <t>FC05|FC04</t>
  </si>
  <si>
    <t>SKU0052</t>
  </si>
  <si>
    <t>Fashion Item 012</t>
  </si>
  <si>
    <t>FC04|FC05|FC02|FC01</t>
  </si>
  <si>
    <t>SKU0053</t>
  </si>
  <si>
    <t>Fashion Item 013</t>
  </si>
  <si>
    <t>SKU0054</t>
  </si>
  <si>
    <t>Fashion Item 014</t>
  </si>
  <si>
    <t>FC02|FC03|FC01|FC04</t>
  </si>
  <si>
    <t>SKU0055</t>
  </si>
  <si>
    <t>Fashion Item 015</t>
  </si>
  <si>
    <t>FC03|FC02|FC01</t>
  </si>
  <si>
    <t>SKU0056</t>
  </si>
  <si>
    <t>Fashion Item 016</t>
  </si>
  <si>
    <t>FC04|FC01|FC03|FC02</t>
  </si>
  <si>
    <t>SKU0057</t>
  </si>
  <si>
    <t>Fashion Item 017</t>
  </si>
  <si>
    <t>FC02|FC05</t>
  </si>
  <si>
    <t>SKU0058</t>
  </si>
  <si>
    <t>Fashion Item 018</t>
  </si>
  <si>
    <t>FC01|FC02|FC03|FC04</t>
  </si>
  <si>
    <t>SKU0059</t>
  </si>
  <si>
    <t>Fashion Item 019</t>
  </si>
  <si>
    <t>FC05|FC04|FC01</t>
  </si>
  <si>
    <t>SKU0060</t>
  </si>
  <si>
    <t>Fashion Item 020</t>
  </si>
  <si>
    <t>SKU0061</t>
  </si>
  <si>
    <t>Fashion Item 021</t>
  </si>
  <si>
    <t>SKU0062</t>
  </si>
  <si>
    <t>Fashion Item 022</t>
  </si>
  <si>
    <t>SKU0063</t>
  </si>
  <si>
    <t>Fashion Item 023</t>
  </si>
  <si>
    <t>SKU0064</t>
  </si>
  <si>
    <t>Fashion Item 024</t>
  </si>
  <si>
    <t>FC05|FC02|FC01|FC04</t>
  </si>
  <si>
    <t>SKU0065</t>
  </si>
  <si>
    <t>Fashion Item 025</t>
  </si>
  <si>
    <t>FC05|FC03|FC02|FC01</t>
  </si>
  <si>
    <t>SKU0066</t>
  </si>
  <si>
    <t>Fashion Item 026</t>
  </si>
  <si>
    <t>FC03|FC04|FC01</t>
  </si>
  <si>
    <t>SKU0067</t>
  </si>
  <si>
    <t>Fashion Item 027</t>
  </si>
  <si>
    <t>FC01|FC03</t>
  </si>
  <si>
    <t>SKU0068</t>
  </si>
  <si>
    <t>Fashion Item 028</t>
  </si>
  <si>
    <t>SKU0069</t>
  </si>
  <si>
    <t>Fashion Item 029</t>
  </si>
  <si>
    <t>SKU0070</t>
  </si>
  <si>
    <t>Fashion Item 030</t>
  </si>
  <si>
    <t>FC02|FC01|FC03</t>
  </si>
  <si>
    <t>SKU0071</t>
  </si>
  <si>
    <t>Fashion Item 031</t>
  </si>
  <si>
    <t>SKU0072</t>
  </si>
  <si>
    <t>Fashion Item 032</t>
  </si>
  <si>
    <t>FC05|FC02|FC04</t>
  </si>
  <si>
    <t>SKU0073</t>
  </si>
  <si>
    <t>Fashion Item 033</t>
  </si>
  <si>
    <t>SKU0074</t>
  </si>
  <si>
    <t>Fashion Item 034</t>
  </si>
  <si>
    <t>FC02|FC01|FC04</t>
  </si>
  <si>
    <t>SKU0075</t>
  </si>
  <si>
    <t>Fashion Item 035</t>
  </si>
  <si>
    <t>FC03|FC02|FC05</t>
  </si>
  <si>
    <t>SKU0076</t>
  </si>
  <si>
    <t>Home Item 001</t>
  </si>
  <si>
    <t>Home &amp; Kitchen</t>
  </si>
  <si>
    <t>SKU0077</t>
  </si>
  <si>
    <t>Home Item 002</t>
  </si>
  <si>
    <t>SKU0078</t>
  </si>
  <si>
    <t>Home Item 003</t>
  </si>
  <si>
    <t>SKU0079</t>
  </si>
  <si>
    <t>Home Item 004</t>
  </si>
  <si>
    <t>SKU0080</t>
  </si>
  <si>
    <t>Home Item 005</t>
  </si>
  <si>
    <t>FC05|FC01|FC04|FC03</t>
  </si>
  <si>
    <t>SKU0081</t>
  </si>
  <si>
    <t>Home Item 006</t>
  </si>
  <si>
    <t>SKU0082</t>
  </si>
  <si>
    <t>Home Item 007</t>
  </si>
  <si>
    <t>SKU0083</t>
  </si>
  <si>
    <t>Home Item 008</t>
  </si>
  <si>
    <t>SKU0084</t>
  </si>
  <si>
    <t>Home Item 009</t>
  </si>
  <si>
    <t>SKU0085</t>
  </si>
  <si>
    <t>Home Item 010</t>
  </si>
  <si>
    <t>SKU0086</t>
  </si>
  <si>
    <t>Home Item 011</t>
  </si>
  <si>
    <t>SKU0087</t>
  </si>
  <si>
    <t>Home Item 012</t>
  </si>
  <si>
    <t>FC03|FC02|FC04</t>
  </si>
  <si>
    <t>SKU0088</t>
  </si>
  <si>
    <t>Home Item 013</t>
  </si>
  <si>
    <t>FC04|FC01|FC02</t>
  </si>
  <si>
    <t>SKU0089</t>
  </si>
  <si>
    <t>Home Item 014</t>
  </si>
  <si>
    <t>FC04|FC03|FC05</t>
  </si>
  <si>
    <t>SKU0090</t>
  </si>
  <si>
    <t>Home Item 015</t>
  </si>
  <si>
    <t>FC04|FC02</t>
  </si>
  <si>
    <t>SKU0091</t>
  </si>
  <si>
    <t>Home Item 016</t>
  </si>
  <si>
    <t>SKU0092</t>
  </si>
  <si>
    <t>Home Item 017</t>
  </si>
  <si>
    <t>SKU0093</t>
  </si>
  <si>
    <t>Home Item 018</t>
  </si>
  <si>
    <t>FC02|FC05|FC01</t>
  </si>
  <si>
    <t>SKU0094</t>
  </si>
  <si>
    <t>Home Item 019</t>
  </si>
  <si>
    <t>FC04|FC02|FC03</t>
  </si>
  <si>
    <t>SKU0095</t>
  </si>
  <si>
    <t>Home Item 020</t>
  </si>
  <si>
    <t>SKU0096</t>
  </si>
  <si>
    <t>Home Item 021</t>
  </si>
  <si>
    <t>SKU0097</t>
  </si>
  <si>
    <t>Home Item 022</t>
  </si>
  <si>
    <t>SKU0098</t>
  </si>
  <si>
    <t>Home Item 023</t>
  </si>
  <si>
    <t>SKU0099</t>
  </si>
  <si>
    <t>Home Item 024</t>
  </si>
  <si>
    <t>SKU0100</t>
  </si>
  <si>
    <t>Home Item 025</t>
  </si>
  <si>
    <t>SKU0101</t>
  </si>
  <si>
    <t>Home Item 026</t>
  </si>
  <si>
    <t>FC02|FC03|FC01</t>
  </si>
  <si>
    <t>SKU0102</t>
  </si>
  <si>
    <t>Home Item 027</t>
  </si>
  <si>
    <t>FC02|FC04|FC01</t>
  </si>
  <si>
    <t>SKU0103</t>
  </si>
  <si>
    <t>Home Item 028</t>
  </si>
  <si>
    <t>FC04|FC02|FC05|FC01</t>
  </si>
  <si>
    <t>SKU0104</t>
  </si>
  <si>
    <t>Home Item 029</t>
  </si>
  <si>
    <t>SKU0105</t>
  </si>
  <si>
    <t>Home Item 030</t>
  </si>
  <si>
    <t>FC03|FC04|FC05</t>
  </si>
  <si>
    <t>SKU0106</t>
  </si>
  <si>
    <t>Beauty Item 001</t>
  </si>
  <si>
    <t>Beauty &amp; Personal Care</t>
  </si>
  <si>
    <t>SKU0107</t>
  </si>
  <si>
    <t>Beauty Item 002</t>
  </si>
  <si>
    <t>FC01|FC02|FC05</t>
  </si>
  <si>
    <t>SKU0108</t>
  </si>
  <si>
    <t>Beauty Item 003</t>
  </si>
  <si>
    <t>SKU0109</t>
  </si>
  <si>
    <t>Beauty Item 004</t>
  </si>
  <si>
    <t>SKU0110</t>
  </si>
  <si>
    <t>Beauty Item 005</t>
  </si>
  <si>
    <t>SKU0111</t>
  </si>
  <si>
    <t>Beauty Item 006</t>
  </si>
  <si>
    <t>SKU0112</t>
  </si>
  <si>
    <t>Beauty Item 007</t>
  </si>
  <si>
    <t>FC01|FC02|FC03</t>
  </si>
  <si>
    <t>SKU0113</t>
  </si>
  <si>
    <t>Beauty Item 008</t>
  </si>
  <si>
    <t>FC04|FC05|FC02|FC03</t>
  </si>
  <si>
    <t>SKU0114</t>
  </si>
  <si>
    <t>Beauty Item 009</t>
  </si>
  <si>
    <t>FC01|FC02|FC04</t>
  </si>
  <si>
    <t>SKU0115</t>
  </si>
  <si>
    <t>Beauty Item 010</t>
  </si>
  <si>
    <t>SKU0116</t>
  </si>
  <si>
    <t>Beauty Item 011</t>
  </si>
  <si>
    <t>SKU0117</t>
  </si>
  <si>
    <t>Beauty Item 012</t>
  </si>
  <si>
    <t>FC04|FC02|FC01|FC03</t>
  </si>
  <si>
    <t>SKU0118</t>
  </si>
  <si>
    <t>Beauty Item 013</t>
  </si>
  <si>
    <t>FC03|FC05|FC01|FC04</t>
  </si>
  <si>
    <t>SKU0119</t>
  </si>
  <si>
    <t>Beauty Item 014</t>
  </si>
  <si>
    <t>SKU0120</t>
  </si>
  <si>
    <t>Beauty Item 015</t>
  </si>
  <si>
    <t>SKU0121</t>
  </si>
  <si>
    <t>Beauty Item 016</t>
  </si>
  <si>
    <t>SKU0122</t>
  </si>
  <si>
    <t>Beauty Item 017</t>
  </si>
  <si>
    <t>SKU0123</t>
  </si>
  <si>
    <t>Beauty Item 018</t>
  </si>
  <si>
    <t>FC03|FC01|FC04</t>
  </si>
  <si>
    <t>SKU0124</t>
  </si>
  <si>
    <t>Beauty Item 019</t>
  </si>
  <si>
    <t>FC05|FC04|FC02</t>
  </si>
  <si>
    <t>SKU0125</t>
  </si>
  <si>
    <t>Beauty Item 020</t>
  </si>
  <si>
    <t>FC01|FC04|FC05</t>
  </si>
  <si>
    <t>SKU0126</t>
  </si>
  <si>
    <t>Beauty Item 021</t>
  </si>
  <si>
    <t>FC01|FC04|FC05|FC03</t>
  </si>
  <si>
    <t>SKU0127</t>
  </si>
  <si>
    <t>Beauty Item 022</t>
  </si>
  <si>
    <t>SKU0128</t>
  </si>
  <si>
    <t>Beauty Item 023</t>
  </si>
  <si>
    <t>FC01|FC04</t>
  </si>
  <si>
    <t>SKU0129</t>
  </si>
  <si>
    <t>Beauty Item 024</t>
  </si>
  <si>
    <t>FC02|FC04|FC05|FC01</t>
  </si>
  <si>
    <t>SKU0130</t>
  </si>
  <si>
    <t>Beauty Item 025</t>
  </si>
  <si>
    <t>SKU0131</t>
  </si>
  <si>
    <t>Grocery Item 001</t>
  </si>
  <si>
    <t>Grocery &amp; Essentials</t>
  </si>
  <si>
    <t>SKU0132</t>
  </si>
  <si>
    <t>Grocery Item 002</t>
  </si>
  <si>
    <t>SKU0133</t>
  </si>
  <si>
    <t>Grocery Item 003</t>
  </si>
  <si>
    <t>FC05|FC02</t>
  </si>
  <si>
    <t>SKU0134</t>
  </si>
  <si>
    <t>Grocery Item 004</t>
  </si>
  <si>
    <t>FC04|FC02|FC05|FC03</t>
  </si>
  <si>
    <t>SKU0135</t>
  </si>
  <si>
    <t>Grocery Item 005</t>
  </si>
  <si>
    <t>SKU0136</t>
  </si>
  <si>
    <t>Grocery Item 006</t>
  </si>
  <si>
    <t>FC02|FC05|FC03</t>
  </si>
  <si>
    <t>SKU0137</t>
  </si>
  <si>
    <t>Grocery Item 007</t>
  </si>
  <si>
    <t>SKU0138</t>
  </si>
  <si>
    <t>Grocery Item 008</t>
  </si>
  <si>
    <t>SKU0139</t>
  </si>
  <si>
    <t>Grocery Item 009</t>
  </si>
  <si>
    <t>SKU0140</t>
  </si>
  <si>
    <t>Grocery Item 010</t>
  </si>
  <si>
    <t>SKU0141</t>
  </si>
  <si>
    <t>Grocery Item 011</t>
  </si>
  <si>
    <t>SKU0142</t>
  </si>
  <si>
    <t>Grocery Item 012</t>
  </si>
  <si>
    <t>SKU0143</t>
  </si>
  <si>
    <t>Grocery Item 013</t>
  </si>
  <si>
    <t>SKU0144</t>
  </si>
  <si>
    <t>Grocery Item 014</t>
  </si>
  <si>
    <t>SKU0145</t>
  </si>
  <si>
    <t>Grocery Item 015</t>
  </si>
  <si>
    <t>FC04|FC05|FC01|FC02</t>
  </si>
  <si>
    <t>SKU0146</t>
  </si>
  <si>
    <t>Grocery Item 016</t>
  </si>
  <si>
    <t>SKU0147</t>
  </si>
  <si>
    <t>Grocery Item 017</t>
  </si>
  <si>
    <t>SKU0148</t>
  </si>
  <si>
    <t>Grocery Item 018</t>
  </si>
  <si>
    <t>SKU0149</t>
  </si>
  <si>
    <t>Grocery Item 019</t>
  </si>
  <si>
    <t>SKU0150</t>
  </si>
  <si>
    <t>Grocery Item 020</t>
  </si>
  <si>
    <t>Days Observed</t>
  </si>
  <si>
    <t>Avg Daily Demand</t>
  </si>
  <si>
    <t>Std Dev Daily Demand</t>
  </si>
  <si>
    <t>Source: SQL view v_sku_demand_stats_90d (02_demand_stats.sql), trailing 90 days of daily_sales fact table.</t>
  </si>
  <si>
    <t>Units Sold (12M)</t>
  </si>
  <si>
    <t>Revenue (12M, ₹)</t>
  </si>
  <si>
    <t>Revenue Rank</t>
  </si>
  <si>
    <t>Cumulative Revenue %</t>
  </si>
  <si>
    <t>ABC Class</t>
  </si>
  <si>
    <t>ABC Summary</t>
  </si>
  <si>
    <t>Class</t>
  </si>
  <si>
    <t>SKU Count</t>
  </si>
  <si>
    <t>% of SKUs</t>
  </si>
  <si>
    <t>% of Revenue</t>
  </si>
  <si>
    <t>A</t>
  </si>
  <si>
    <t>B</t>
  </si>
  <si>
    <t>C</t>
  </si>
  <si>
    <t>Std Dev Demand</t>
  </si>
  <si>
    <t>Service Level Z</t>
  </si>
  <si>
    <t>Safety Stock (units)</t>
  </si>
  <si>
    <t>Reorder Point (units)</t>
  </si>
  <si>
    <t>Net On-Hand (units)</t>
  </si>
  <si>
    <t>Action</t>
  </si>
  <si>
    <t>Formulas: Safety Stock = Z × σ(demand) × √(Lead Time)  |  Reorder Point = (Avg Demand × Lead Time) + Safety Stock</t>
  </si>
  <si>
    <t>Net On-Hand: Source = current inventory snapshot (SQL, inventory_snapshot table), network-wide sum across assigned FCs.</t>
  </si>
  <si>
    <t>Before vs After: Reorder Policy Impact (Last 12 Weeks)</t>
  </si>
  <si>
    <t>AFTER = simulated result of replacing the naive weekly-review policy with the ABC-tiered, forecast-driven reorder-point policy from this workbook.</t>
  </si>
  <si>
    <t>Fill Rate — BEFORE (naive weekly-review policy)</t>
  </si>
  <si>
    <t>Fill Rate — AFTER (ABC-tiered, forecast-driven policy)</t>
  </si>
  <si>
    <t>Improvement (percentage points)</t>
  </si>
  <si>
    <t>Total Demand, units (12-wk window)</t>
  </si>
  <si>
    <t>Lost Sales — BEFORE, units</t>
  </si>
  <si>
    <t>Lost Sales — AFTER (estimated), units</t>
  </si>
  <si>
    <t>Demand Forecasting Model — Benchmark (WMAPE %, lower = better)</t>
  </si>
  <si>
    <t>Model</t>
  </si>
  <si>
    <t>WMAPE %</t>
  </si>
  <si>
    <t>Naive (last week)</t>
  </si>
  <si>
    <t>Moving Average (4wk)</t>
  </si>
  <si>
    <t>Random Forest</t>
  </si>
  <si>
    <t>Gradient Boosting</t>
  </si>
  <si>
    <t>Winning model: Random Forest Regressor (engineered lag + rolling-window + calendar features, weekly SKU-level demand).</t>
  </si>
  <si>
    <t>Trained/evaluated in Python (scikit-learn); see 03_forecasting_model.py. Time-based 8-week holdout, no leakage (all features causal).</t>
  </si>
  <si>
    <t>Next-Week Demand Forecast (sample, top 15 by forecast volume)</t>
  </si>
  <si>
    <t>Forecast Week</t>
  </si>
  <si>
    <t>Forecast Demand (units)</t>
  </si>
  <si>
    <t>2026-01-06</t>
  </si>
  <si>
    <t>Automated Reorder Alerts (AI Automation Layer — prioritized, urgency-ranked)</t>
  </si>
  <si>
    <t>On Hand</t>
  </si>
  <si>
    <t>Days of Cover</t>
  </si>
  <si>
    <t>Forecast Demand (next wk)</t>
  </si>
  <si>
    <t>Urgency</t>
  </si>
  <si>
    <t>Suggested Order Qty</t>
  </si>
  <si>
    <t>CRITICAL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</si>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</sst>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"/>
    <numFmt numFmtId="181" formatCode="0.0"/>
    <numFmt numFmtId="182" formatCode="&quot;₹&quot;#,##0"/>
  </numFmts>
  <fonts count="32">
    <font>
      <sz val="11"/>
      <color theme="1"/>
      <name val="Calibri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Border="0" applyAlignment="0" applyProtection="0"/>
    <xf numFmtId="177" fontId="11" fillId="0" borderId="0" applyBorder="0" applyAlignment="0" applyProtection="0"/>
    <xf numFmtId="9" fontId="11" fillId="0" borderId="0" applyBorder="0" applyAlignment="0" applyProtection="0"/>
    <xf numFmtId="178" fontId="11" fillId="0" borderId="0" applyBorder="0" applyAlignment="0" applyProtection="0"/>
    <xf numFmtId="179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0" xfId="0" applyFont="1"/>
    <xf numFmtId="2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80" fontId="7" fillId="0" borderId="0" xfId="0" applyNumberFormat="1" applyFont="1"/>
    <xf numFmtId="181" fontId="7" fillId="0" borderId="0" xfId="0" applyNumberFormat="1" applyFont="1"/>
    <xf numFmtId="3" fontId="7" fillId="0" borderId="0" xfId="0" applyNumberFormat="1" applyFont="1"/>
    <xf numFmtId="0" fontId="8" fillId="0" borderId="1" xfId="0" applyFont="1" applyBorder="1"/>
    <xf numFmtId="182" fontId="3" fillId="0" borderId="1" xfId="0" applyNumberFormat="1" applyFont="1" applyBorder="1"/>
    <xf numFmtId="180" fontId="8" fillId="0" borderId="1" xfId="0" applyNumberFormat="1" applyFont="1" applyBorder="1"/>
    <xf numFmtId="0" fontId="9" fillId="0" borderId="0" xfId="0" applyFont="1"/>
    <xf numFmtId="0" fontId="8" fillId="0" borderId="0" xfId="0" applyFont="1"/>
    <xf numFmtId="180" fontId="8" fillId="0" borderId="0" xfId="0" applyNumberFormat="1" applyFont="1"/>
    <xf numFmtId="0" fontId="10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D699"/>
        </patternFill>
      </fill>
    </dxf>
    <dxf>
      <fill>
        <patternFill patternType="solid">
          <bgColor rgb="FFFFF2A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C0504D"/>
      <rgbColor rgb="00FFEB9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2AE"/>
      <rgbColor rgb="0099CCFF"/>
      <rgbColor rgb="00FF9999"/>
      <rgbColor rgb="00FFC7CE"/>
      <rgbColor rgb="00FFD699"/>
      <rgbColor rgb="004F81BD"/>
      <rgbColor rgb="0033CCCC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Contribution by ABC Class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GB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ABC_Analysis!$I$3:$I$5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ABC_Analysis!$L$2:$L$5</c:f>
              <c:numCache>
                <c:formatCode>General</c:formatCode>
                <c:ptCount val="4"/>
                <c:pt idx="0">
                  <c:v>0</c:v>
                </c:pt>
                <c:pt idx="1" c:formatCode="0.0%">
                  <c:v>0.796893446763878</c:v>
                </c:pt>
                <c:pt idx="2" c:formatCode="0.0%">
                  <c:v>0.151707229301756</c:v>
                </c:pt>
                <c:pt idx="3" c:formatCode="0.0%">
                  <c:v>0.0513993239343666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3c921b-8372-4b50-9d48-ad341e63c53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Fill Rate: Before vs After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Fill_Rate_Impact!$B$5:$B$6</c:f>
              <c:strCache>
                <c:ptCount val="2"/>
                <c:pt idx="0">
                  <c:v>Fill Rate — BEFORE (naive weekly-review policy)</c:v>
                </c:pt>
                <c:pt idx="1">
                  <c:v>Fill Rate — AFTER (ABC-tiered, forecast-driven policy)</c:v>
                </c:pt>
              </c:strCache>
            </c:strRef>
          </c:cat>
          <c:val>
            <c:numRef>
              <c:f>Fill_Rate_Impact!$D$5:$D$6</c:f>
              <c:numCache>
                <c:formatCode>0.0%</c:formatCode>
                <c:ptCount val="2"/>
                <c:pt idx="0">
                  <c:v>0.8318</c:v>
                </c:pt>
                <c:pt idx="1">
                  <c:v>0.9969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8123162"/>
        <c:axId val="33670989"/>
      </c:barChart>
      <c:catAx>
        <c:axId val="58123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3670989"/>
        <c:crosses val="autoZero"/>
        <c:auto val="1"/>
        <c:lblAlgn val="ctr"/>
        <c:lblOffset val="100"/>
        <c:noMultiLvlLbl val="0"/>
      </c:catAx>
      <c:valAx>
        <c:axId val="3367098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Fill Rate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8123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bed245-25b1-44d3-9d41-47b9c31f28f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6</xdr:row>
      <xdr:rowOff>78120</xdr:rowOff>
    </xdr:from>
    <xdr:to>
      <xdr:col>14</xdr:col>
      <xdr:colOff>290880</xdr:colOff>
      <xdr:row>20</xdr:row>
      <xdr:rowOff>110520</xdr:rowOff>
    </xdr:to>
    <xdr:graphicFrame>
      <xdr:nvGraphicFramePr>
        <xdr:cNvPr id="2" name="Chart 1"/>
        <xdr:cNvGraphicFramePr/>
      </xdr:nvGraphicFramePr>
      <xdr:xfrm>
        <a:off x="7864475" y="1327785"/>
        <a:ext cx="3860800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3</xdr:col>
      <xdr:colOff>943920</xdr:colOff>
      <xdr:row>26</xdr:row>
      <xdr:rowOff>32760</xdr:rowOff>
    </xdr:to>
    <xdr:graphicFrame>
      <xdr:nvGraphicFramePr>
        <xdr:cNvPr id="2" name="Chart 1"/>
        <xdr:cNvGraphicFramePr/>
      </xdr:nvGraphicFramePr>
      <xdr:xfrm>
        <a:off x="205740" y="2209800"/>
        <a:ext cx="4578350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C17"/>
  <sheetViews>
    <sheetView tabSelected="1" workbookViewId="0">
      <selection activeCell="A1" sqref="A1"/>
    </sheetView>
  </sheetViews>
  <sheetFormatPr defaultColWidth="8.67592592592593" defaultRowHeight="14.4" outlineLevelCol="2"/>
  <cols>
    <col min="1" max="1" width="3" customWidth="1"/>
    <col min="2" max="2" width="22" customWidth="1"/>
    <col min="3" max="3" width="90" customWidth="1"/>
  </cols>
  <sheetData>
    <row r="2" ht="17.4" spans="2:2">
      <c r="B2" s="18" t="s">
        <v>0</v>
      </c>
    </row>
    <row r="3" spans="2:2">
      <c r="B3" s="6" t="s">
        <v>1</v>
      </c>
    </row>
    <row r="5" spans="2:3">
      <c r="B5" s="15" t="s">
        <v>2</v>
      </c>
      <c r="C5" s="8" t="s">
        <v>3</v>
      </c>
    </row>
    <row r="6" spans="2:3">
      <c r="B6" s="15" t="s">
        <v>4</v>
      </c>
      <c r="C6" s="8" t="s">
        <v>5</v>
      </c>
    </row>
    <row r="7" spans="2:3">
      <c r="B7" s="15" t="s">
        <v>6</v>
      </c>
      <c r="C7" s="8" t="s">
        <v>7</v>
      </c>
    </row>
    <row r="8" spans="2:3">
      <c r="B8" s="15" t="s">
        <v>8</v>
      </c>
      <c r="C8" s="8" t="s">
        <v>9</v>
      </c>
    </row>
    <row r="9" spans="2:3">
      <c r="B9" s="15" t="s">
        <v>10</v>
      </c>
      <c r="C9" s="8" t="s">
        <v>11</v>
      </c>
    </row>
    <row r="10" spans="2:3">
      <c r="B10" s="15" t="s">
        <v>12</v>
      </c>
      <c r="C10" s="8" t="s">
        <v>13</v>
      </c>
    </row>
    <row r="11" spans="2:3">
      <c r="B11" s="15" t="s">
        <v>14</v>
      </c>
      <c r="C11" s="8" t="s">
        <v>15</v>
      </c>
    </row>
    <row r="12" spans="2:3">
      <c r="B12" s="15" t="s">
        <v>16</v>
      </c>
      <c r="C12" s="8" t="s">
        <v>17</v>
      </c>
    </row>
    <row r="15" spans="2:2">
      <c r="B15" s="15" t="s">
        <v>18</v>
      </c>
    </row>
    <row r="16" spans="2:2">
      <c r="B16" s="19" t="s">
        <v>19</v>
      </c>
    </row>
    <row r="17" spans="2:2">
      <c r="B17" s="16" t="s">
        <v>20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7"/>
  <cols>
    <col min="1" max="1" width="10" customWidth="1"/>
    <col min="2" max="2" width="22" customWidth="1"/>
    <col min="3" max="3" width="24" customWidth="1"/>
    <col min="4" max="5" width="13" customWidth="1"/>
    <col min="6" max="6" width="14" customWidth="1"/>
    <col min="7" max="7" width="12" customWidth="1"/>
    <col min="8" max="8" width="26" customWidth="1"/>
  </cols>
  <sheetData>
    <row r="1" ht="26.4" spans="1:8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>
      <c r="A2" s="3" t="s">
        <v>29</v>
      </c>
      <c r="B2" s="3" t="s">
        <v>30</v>
      </c>
      <c r="C2" s="3" t="s">
        <v>31</v>
      </c>
      <c r="D2" s="13">
        <v>15506.63</v>
      </c>
      <c r="E2" s="13">
        <v>19574.72</v>
      </c>
      <c r="F2" s="3">
        <v>5</v>
      </c>
      <c r="G2" s="3">
        <v>50</v>
      </c>
      <c r="H2" s="3" t="s">
        <v>32</v>
      </c>
    </row>
    <row r="3" spans="1:8">
      <c r="A3" s="3" t="s">
        <v>33</v>
      </c>
      <c r="B3" s="3" t="s">
        <v>34</v>
      </c>
      <c r="C3" s="3" t="s">
        <v>31</v>
      </c>
      <c r="D3" s="13">
        <v>14946.65</v>
      </c>
      <c r="E3" s="13">
        <v>19865.33</v>
      </c>
      <c r="F3" s="3">
        <v>4</v>
      </c>
      <c r="G3" s="3">
        <v>20</v>
      </c>
      <c r="H3" s="3" t="s">
        <v>35</v>
      </c>
    </row>
    <row r="4" spans="1:8">
      <c r="A4" s="3" t="s">
        <v>36</v>
      </c>
      <c r="B4" s="3" t="s">
        <v>37</v>
      </c>
      <c r="C4" s="3" t="s">
        <v>31</v>
      </c>
      <c r="D4" s="13">
        <v>10648.75</v>
      </c>
      <c r="E4" s="13">
        <v>14309.59</v>
      </c>
      <c r="F4" s="3">
        <v>5</v>
      </c>
      <c r="G4" s="3">
        <v>50</v>
      </c>
      <c r="H4" s="3" t="s">
        <v>38</v>
      </c>
    </row>
    <row r="5" spans="1:8">
      <c r="A5" s="3" t="s">
        <v>39</v>
      </c>
      <c r="B5" s="3" t="s">
        <v>40</v>
      </c>
      <c r="C5" s="3" t="s">
        <v>31</v>
      </c>
      <c r="D5" s="13">
        <v>4512.26</v>
      </c>
      <c r="E5" s="13">
        <v>5670.52</v>
      </c>
      <c r="F5" s="3">
        <v>3</v>
      </c>
      <c r="G5" s="3">
        <v>20</v>
      </c>
      <c r="H5" s="3" t="s">
        <v>41</v>
      </c>
    </row>
    <row r="6" spans="1:8">
      <c r="A6" s="3" t="s">
        <v>42</v>
      </c>
      <c r="B6" s="3" t="s">
        <v>43</v>
      </c>
      <c r="C6" s="3" t="s">
        <v>31</v>
      </c>
      <c r="D6" s="13">
        <v>7873.78</v>
      </c>
      <c r="E6" s="13">
        <v>9890.4</v>
      </c>
      <c r="F6" s="3">
        <v>2</v>
      </c>
      <c r="G6" s="3">
        <v>25</v>
      </c>
      <c r="H6" s="3" t="s">
        <v>44</v>
      </c>
    </row>
    <row r="7" spans="1:8">
      <c r="A7" s="3" t="s">
        <v>45</v>
      </c>
      <c r="B7" s="3" t="s">
        <v>46</v>
      </c>
      <c r="C7" s="3" t="s">
        <v>31</v>
      </c>
      <c r="D7" s="13">
        <v>17325.19</v>
      </c>
      <c r="E7" s="13">
        <v>20984.11</v>
      </c>
      <c r="F7" s="3">
        <v>7</v>
      </c>
      <c r="G7" s="3">
        <v>10</v>
      </c>
      <c r="H7" s="3" t="s">
        <v>47</v>
      </c>
    </row>
    <row r="8" spans="1:8">
      <c r="A8" s="3" t="s">
        <v>48</v>
      </c>
      <c r="B8" s="3" t="s">
        <v>49</v>
      </c>
      <c r="C8" s="3" t="s">
        <v>31</v>
      </c>
      <c r="D8" s="13">
        <v>4272.05</v>
      </c>
      <c r="E8" s="13">
        <v>5797</v>
      </c>
      <c r="F8" s="3">
        <v>5</v>
      </c>
      <c r="G8" s="3">
        <v>25</v>
      </c>
      <c r="H8" s="3" t="s">
        <v>50</v>
      </c>
    </row>
    <row r="9" spans="1:8">
      <c r="A9" s="3" t="s">
        <v>51</v>
      </c>
      <c r="B9" s="3" t="s">
        <v>52</v>
      </c>
      <c r="C9" s="3" t="s">
        <v>31</v>
      </c>
      <c r="D9" s="13">
        <v>3268.58</v>
      </c>
      <c r="E9" s="13">
        <v>4354.27</v>
      </c>
      <c r="F9" s="3">
        <v>4</v>
      </c>
      <c r="G9" s="3">
        <v>25</v>
      </c>
      <c r="H9" s="3" t="s">
        <v>50</v>
      </c>
    </row>
    <row r="10" spans="1:8">
      <c r="A10" s="3" t="s">
        <v>53</v>
      </c>
      <c r="B10" s="3" t="s">
        <v>54</v>
      </c>
      <c r="C10" s="3" t="s">
        <v>31</v>
      </c>
      <c r="D10" s="13">
        <v>11174.55</v>
      </c>
      <c r="E10" s="13">
        <v>14420.53</v>
      </c>
      <c r="F10" s="3">
        <v>4</v>
      </c>
      <c r="G10" s="3">
        <v>100</v>
      </c>
      <c r="H10" s="3" t="s">
        <v>55</v>
      </c>
    </row>
    <row r="11" spans="1:8">
      <c r="A11" s="3" t="s">
        <v>56</v>
      </c>
      <c r="B11" s="3" t="s">
        <v>57</v>
      </c>
      <c r="C11" s="3" t="s">
        <v>31</v>
      </c>
      <c r="D11" s="13">
        <v>4917.1</v>
      </c>
      <c r="E11" s="13">
        <v>6613.78</v>
      </c>
      <c r="F11" s="3">
        <v>3</v>
      </c>
      <c r="G11" s="3">
        <v>50</v>
      </c>
      <c r="H11" s="3" t="s">
        <v>58</v>
      </c>
    </row>
    <row r="12" spans="1:8">
      <c r="A12" s="3" t="s">
        <v>59</v>
      </c>
      <c r="B12" s="3" t="s">
        <v>60</v>
      </c>
      <c r="C12" s="3" t="s">
        <v>31</v>
      </c>
      <c r="D12" s="13">
        <v>9034.35</v>
      </c>
      <c r="E12" s="13">
        <v>10752.69</v>
      </c>
      <c r="F12" s="3">
        <v>2</v>
      </c>
      <c r="G12" s="3">
        <v>25</v>
      </c>
      <c r="H12" s="3" t="s">
        <v>61</v>
      </c>
    </row>
    <row r="13" spans="1:8">
      <c r="A13" s="3" t="s">
        <v>62</v>
      </c>
      <c r="B13" s="3" t="s">
        <v>63</v>
      </c>
      <c r="C13" s="3" t="s">
        <v>31</v>
      </c>
      <c r="D13" s="13">
        <v>3896.4</v>
      </c>
      <c r="E13" s="13">
        <v>4869.68</v>
      </c>
      <c r="F13" s="3">
        <v>5</v>
      </c>
      <c r="G13" s="3">
        <v>50</v>
      </c>
      <c r="H13" s="3" t="s">
        <v>64</v>
      </c>
    </row>
    <row r="14" spans="1:8">
      <c r="A14" s="3" t="s">
        <v>65</v>
      </c>
      <c r="B14" s="3" t="s">
        <v>66</v>
      </c>
      <c r="C14" s="3" t="s">
        <v>31</v>
      </c>
      <c r="D14" s="13">
        <v>7235.22</v>
      </c>
      <c r="E14" s="13">
        <v>9682.86</v>
      </c>
      <c r="F14" s="3">
        <v>14</v>
      </c>
      <c r="G14" s="3">
        <v>50</v>
      </c>
      <c r="H14" s="3" t="s">
        <v>67</v>
      </c>
    </row>
    <row r="15" spans="1:8">
      <c r="A15" s="3" t="s">
        <v>68</v>
      </c>
      <c r="B15" s="3" t="s">
        <v>69</v>
      </c>
      <c r="C15" s="3" t="s">
        <v>31</v>
      </c>
      <c r="D15" s="13">
        <v>14446.06</v>
      </c>
      <c r="E15" s="13">
        <v>18205.08</v>
      </c>
      <c r="F15" s="3">
        <v>2</v>
      </c>
      <c r="G15" s="3">
        <v>25</v>
      </c>
      <c r="H15" s="3" t="s">
        <v>70</v>
      </c>
    </row>
    <row r="16" spans="1:8">
      <c r="A16" s="3" t="s">
        <v>71</v>
      </c>
      <c r="B16" s="3" t="s">
        <v>72</v>
      </c>
      <c r="C16" s="3" t="s">
        <v>31</v>
      </c>
      <c r="D16" s="13">
        <v>4432.64</v>
      </c>
      <c r="E16" s="13">
        <v>5241.72</v>
      </c>
      <c r="F16" s="3">
        <v>7</v>
      </c>
      <c r="G16" s="3">
        <v>50</v>
      </c>
      <c r="H16" s="3" t="s">
        <v>73</v>
      </c>
    </row>
    <row r="17" spans="1:8">
      <c r="A17" s="3" t="s">
        <v>74</v>
      </c>
      <c r="B17" s="3" t="s">
        <v>75</v>
      </c>
      <c r="C17" s="3" t="s">
        <v>31</v>
      </c>
      <c r="D17" s="13">
        <v>2387.99</v>
      </c>
      <c r="E17" s="13">
        <v>3025.75</v>
      </c>
      <c r="F17" s="3">
        <v>4</v>
      </c>
      <c r="G17" s="3">
        <v>25</v>
      </c>
      <c r="H17" s="3" t="s">
        <v>76</v>
      </c>
    </row>
    <row r="18" spans="1:8">
      <c r="A18" s="3" t="s">
        <v>77</v>
      </c>
      <c r="B18" s="3" t="s">
        <v>78</v>
      </c>
      <c r="C18" s="3" t="s">
        <v>31</v>
      </c>
      <c r="D18" s="13">
        <v>4351.88</v>
      </c>
      <c r="E18" s="13">
        <v>5093.4</v>
      </c>
      <c r="F18" s="3">
        <v>3</v>
      </c>
      <c r="G18" s="3">
        <v>25</v>
      </c>
      <c r="H18" s="3" t="s">
        <v>79</v>
      </c>
    </row>
    <row r="19" spans="1:8">
      <c r="A19" s="3" t="s">
        <v>80</v>
      </c>
      <c r="B19" s="3" t="s">
        <v>81</v>
      </c>
      <c r="C19" s="3" t="s">
        <v>31</v>
      </c>
      <c r="D19" s="13">
        <v>14771.59</v>
      </c>
      <c r="E19" s="13">
        <v>19785.43</v>
      </c>
      <c r="F19" s="3">
        <v>4</v>
      </c>
      <c r="G19" s="3">
        <v>20</v>
      </c>
      <c r="H19" s="3" t="s">
        <v>82</v>
      </c>
    </row>
    <row r="20" spans="1:8">
      <c r="A20" s="3" t="s">
        <v>83</v>
      </c>
      <c r="B20" s="3" t="s">
        <v>84</v>
      </c>
      <c r="C20" s="3" t="s">
        <v>31</v>
      </c>
      <c r="D20" s="13">
        <v>10691</v>
      </c>
      <c r="E20" s="13">
        <v>13495.66</v>
      </c>
      <c r="F20" s="3">
        <v>7</v>
      </c>
      <c r="G20" s="3">
        <v>50</v>
      </c>
      <c r="H20" s="3" t="s">
        <v>85</v>
      </c>
    </row>
    <row r="21" spans="1:8">
      <c r="A21" s="3" t="s">
        <v>86</v>
      </c>
      <c r="B21" s="3" t="s">
        <v>87</v>
      </c>
      <c r="C21" s="3" t="s">
        <v>31</v>
      </c>
      <c r="D21" s="13">
        <v>6357.24</v>
      </c>
      <c r="E21" s="13">
        <v>7748.89</v>
      </c>
      <c r="F21" s="3">
        <v>7</v>
      </c>
      <c r="G21" s="3">
        <v>20</v>
      </c>
      <c r="H21" s="3" t="s">
        <v>32</v>
      </c>
    </row>
    <row r="22" spans="1:8">
      <c r="A22" s="3" t="s">
        <v>88</v>
      </c>
      <c r="B22" s="3" t="s">
        <v>89</v>
      </c>
      <c r="C22" s="3" t="s">
        <v>90</v>
      </c>
      <c r="D22" s="13">
        <v>1929.87</v>
      </c>
      <c r="E22" s="13">
        <v>2452.67</v>
      </c>
      <c r="F22" s="3">
        <v>7</v>
      </c>
      <c r="G22" s="3">
        <v>25</v>
      </c>
      <c r="H22" s="3" t="s">
        <v>91</v>
      </c>
    </row>
    <row r="23" spans="1:8">
      <c r="A23" s="3" t="s">
        <v>92</v>
      </c>
      <c r="B23" s="3" t="s">
        <v>93</v>
      </c>
      <c r="C23" s="3" t="s">
        <v>90</v>
      </c>
      <c r="D23" s="13">
        <v>10107.23</v>
      </c>
      <c r="E23" s="13">
        <v>12112.91</v>
      </c>
      <c r="F23" s="3">
        <v>2</v>
      </c>
      <c r="G23" s="3">
        <v>50</v>
      </c>
      <c r="H23" s="3" t="s">
        <v>94</v>
      </c>
    </row>
    <row r="24" spans="1:8">
      <c r="A24" s="3" t="s">
        <v>95</v>
      </c>
      <c r="B24" s="3" t="s">
        <v>96</v>
      </c>
      <c r="C24" s="3" t="s">
        <v>90</v>
      </c>
      <c r="D24" s="13">
        <v>33307.45</v>
      </c>
      <c r="E24" s="13">
        <v>40172.92</v>
      </c>
      <c r="F24" s="3">
        <v>3</v>
      </c>
      <c r="G24" s="3">
        <v>50</v>
      </c>
      <c r="H24" s="3" t="s">
        <v>97</v>
      </c>
    </row>
    <row r="25" spans="1:8">
      <c r="A25" s="3" t="s">
        <v>98</v>
      </c>
      <c r="B25" s="3" t="s">
        <v>99</v>
      </c>
      <c r="C25" s="3" t="s">
        <v>90</v>
      </c>
      <c r="D25" s="13">
        <v>10347.99</v>
      </c>
      <c r="E25" s="13">
        <v>12400.02</v>
      </c>
      <c r="F25" s="3">
        <v>2</v>
      </c>
      <c r="G25" s="3">
        <v>100</v>
      </c>
      <c r="H25" s="3" t="s">
        <v>100</v>
      </c>
    </row>
    <row r="26" spans="1:8">
      <c r="A26" s="3" t="s">
        <v>101</v>
      </c>
      <c r="B26" s="3" t="s">
        <v>102</v>
      </c>
      <c r="C26" s="3" t="s">
        <v>90</v>
      </c>
      <c r="D26" s="13">
        <v>7171.21</v>
      </c>
      <c r="E26" s="13">
        <v>9481.61</v>
      </c>
      <c r="F26" s="3">
        <v>14</v>
      </c>
      <c r="G26" s="3">
        <v>20</v>
      </c>
      <c r="H26" s="3" t="s">
        <v>103</v>
      </c>
    </row>
    <row r="27" spans="1:8">
      <c r="A27" s="3" t="s">
        <v>104</v>
      </c>
      <c r="B27" s="3" t="s">
        <v>105</v>
      </c>
      <c r="C27" s="3" t="s">
        <v>90</v>
      </c>
      <c r="D27" s="13">
        <v>5314.93</v>
      </c>
      <c r="E27" s="13">
        <v>6625.67</v>
      </c>
      <c r="F27" s="3">
        <v>4</v>
      </c>
      <c r="G27" s="3">
        <v>100</v>
      </c>
      <c r="H27" s="3" t="s">
        <v>106</v>
      </c>
    </row>
    <row r="28" spans="1:8">
      <c r="A28" s="3" t="s">
        <v>107</v>
      </c>
      <c r="B28" s="3" t="s">
        <v>108</v>
      </c>
      <c r="C28" s="3" t="s">
        <v>90</v>
      </c>
      <c r="D28" s="13">
        <v>26255.11</v>
      </c>
      <c r="E28" s="13">
        <v>32420.71</v>
      </c>
      <c r="F28" s="3">
        <v>2</v>
      </c>
      <c r="G28" s="3">
        <v>50</v>
      </c>
      <c r="H28" s="3" t="s">
        <v>109</v>
      </c>
    </row>
    <row r="29" spans="1:8">
      <c r="A29" s="3" t="s">
        <v>110</v>
      </c>
      <c r="B29" s="3" t="s">
        <v>111</v>
      </c>
      <c r="C29" s="3" t="s">
        <v>90</v>
      </c>
      <c r="D29" s="13">
        <v>32422.99</v>
      </c>
      <c r="E29" s="13">
        <v>43038.5</v>
      </c>
      <c r="F29" s="3">
        <v>2</v>
      </c>
      <c r="G29" s="3">
        <v>10</v>
      </c>
      <c r="H29" s="3" t="s">
        <v>112</v>
      </c>
    </row>
    <row r="30" spans="1:8">
      <c r="A30" s="3" t="s">
        <v>113</v>
      </c>
      <c r="B30" s="3" t="s">
        <v>114</v>
      </c>
      <c r="C30" s="3" t="s">
        <v>90</v>
      </c>
      <c r="D30" s="13">
        <v>16197.33</v>
      </c>
      <c r="E30" s="13">
        <v>19324.27</v>
      </c>
      <c r="F30" s="3">
        <v>10</v>
      </c>
      <c r="G30" s="3">
        <v>10</v>
      </c>
      <c r="H30" s="3" t="s">
        <v>115</v>
      </c>
    </row>
    <row r="31" spans="1:8">
      <c r="A31" s="3" t="s">
        <v>116</v>
      </c>
      <c r="B31" s="3" t="s">
        <v>117</v>
      </c>
      <c r="C31" s="3" t="s">
        <v>90</v>
      </c>
      <c r="D31" s="13">
        <v>30606.89</v>
      </c>
      <c r="E31" s="13">
        <v>37460.57</v>
      </c>
      <c r="F31" s="3">
        <v>4</v>
      </c>
      <c r="G31" s="3">
        <v>25</v>
      </c>
      <c r="H31" s="3" t="s">
        <v>118</v>
      </c>
    </row>
    <row r="32" spans="1:8">
      <c r="A32" s="3" t="s">
        <v>119</v>
      </c>
      <c r="B32" s="3" t="s">
        <v>120</v>
      </c>
      <c r="C32" s="3" t="s">
        <v>90</v>
      </c>
      <c r="D32" s="13">
        <v>13363.5</v>
      </c>
      <c r="E32" s="13">
        <v>17338.31</v>
      </c>
      <c r="F32" s="3">
        <v>10</v>
      </c>
      <c r="G32" s="3">
        <v>50</v>
      </c>
      <c r="H32" s="3" t="s">
        <v>121</v>
      </c>
    </row>
    <row r="33" spans="1:8">
      <c r="A33" s="3" t="s">
        <v>122</v>
      </c>
      <c r="B33" s="3" t="s">
        <v>123</v>
      </c>
      <c r="C33" s="3" t="s">
        <v>90</v>
      </c>
      <c r="D33" s="13">
        <v>26958.53</v>
      </c>
      <c r="E33" s="13">
        <v>36892.16</v>
      </c>
      <c r="F33" s="3">
        <v>5</v>
      </c>
      <c r="G33" s="3">
        <v>20</v>
      </c>
      <c r="H33" s="3" t="s">
        <v>124</v>
      </c>
    </row>
    <row r="34" spans="1:8">
      <c r="A34" s="3" t="s">
        <v>125</v>
      </c>
      <c r="B34" s="3" t="s">
        <v>126</v>
      </c>
      <c r="C34" s="3" t="s">
        <v>90</v>
      </c>
      <c r="D34" s="13">
        <v>5959.53</v>
      </c>
      <c r="E34" s="13">
        <v>7158.28</v>
      </c>
      <c r="F34" s="3">
        <v>3</v>
      </c>
      <c r="G34" s="3">
        <v>10</v>
      </c>
      <c r="H34" s="3" t="s">
        <v>127</v>
      </c>
    </row>
    <row r="35" spans="1:8">
      <c r="A35" s="3" t="s">
        <v>128</v>
      </c>
      <c r="B35" s="3" t="s">
        <v>129</v>
      </c>
      <c r="C35" s="3" t="s">
        <v>90</v>
      </c>
      <c r="D35" s="13">
        <v>2401.21</v>
      </c>
      <c r="E35" s="13">
        <v>3247.53</v>
      </c>
      <c r="F35" s="3">
        <v>5</v>
      </c>
      <c r="G35" s="3">
        <v>25</v>
      </c>
      <c r="H35" s="3" t="s">
        <v>130</v>
      </c>
    </row>
    <row r="36" spans="1:8">
      <c r="A36" s="3" t="s">
        <v>131</v>
      </c>
      <c r="B36" s="3" t="s">
        <v>132</v>
      </c>
      <c r="C36" s="3" t="s">
        <v>90</v>
      </c>
      <c r="D36" s="13">
        <v>32520.42</v>
      </c>
      <c r="E36" s="13">
        <v>39475.09</v>
      </c>
      <c r="F36" s="3">
        <v>3</v>
      </c>
      <c r="G36" s="3">
        <v>25</v>
      </c>
      <c r="H36" s="3" t="s">
        <v>133</v>
      </c>
    </row>
    <row r="37" spans="1:8">
      <c r="A37" s="3" t="s">
        <v>134</v>
      </c>
      <c r="B37" s="3" t="s">
        <v>135</v>
      </c>
      <c r="C37" s="3" t="s">
        <v>90</v>
      </c>
      <c r="D37" s="13">
        <v>13894.65</v>
      </c>
      <c r="E37" s="13">
        <v>19198.22</v>
      </c>
      <c r="F37" s="3">
        <v>4</v>
      </c>
      <c r="G37" s="3">
        <v>10</v>
      </c>
      <c r="H37" s="3" t="s">
        <v>124</v>
      </c>
    </row>
    <row r="38" spans="1:8">
      <c r="A38" s="3" t="s">
        <v>136</v>
      </c>
      <c r="B38" s="3" t="s">
        <v>137</v>
      </c>
      <c r="C38" s="3" t="s">
        <v>90</v>
      </c>
      <c r="D38" s="13">
        <v>30423.62</v>
      </c>
      <c r="E38" s="13">
        <v>41677.94</v>
      </c>
      <c r="F38" s="3">
        <v>10</v>
      </c>
      <c r="G38" s="3">
        <v>50</v>
      </c>
      <c r="H38" s="3" t="s">
        <v>138</v>
      </c>
    </row>
    <row r="39" spans="1:8">
      <c r="A39" s="3" t="s">
        <v>139</v>
      </c>
      <c r="B39" s="3" t="s">
        <v>140</v>
      </c>
      <c r="C39" s="3" t="s">
        <v>90</v>
      </c>
      <c r="D39" s="13">
        <v>5292.51</v>
      </c>
      <c r="E39" s="13">
        <v>6746.34</v>
      </c>
      <c r="F39" s="3">
        <v>10</v>
      </c>
      <c r="G39" s="3">
        <v>20</v>
      </c>
      <c r="H39" s="3" t="s">
        <v>41</v>
      </c>
    </row>
    <row r="40" spans="1:8">
      <c r="A40" s="3" t="s">
        <v>141</v>
      </c>
      <c r="B40" s="3" t="s">
        <v>142</v>
      </c>
      <c r="C40" s="3" t="s">
        <v>90</v>
      </c>
      <c r="D40" s="13">
        <v>5422.72</v>
      </c>
      <c r="E40" s="13">
        <v>6976.9</v>
      </c>
      <c r="F40" s="3">
        <v>3</v>
      </c>
      <c r="G40" s="3">
        <v>20</v>
      </c>
      <c r="H40" s="3" t="s">
        <v>143</v>
      </c>
    </row>
    <row r="41" spans="1:8">
      <c r="A41" s="3" t="s">
        <v>144</v>
      </c>
      <c r="B41" s="3" t="s">
        <v>145</v>
      </c>
      <c r="C41" s="3" t="s">
        <v>90</v>
      </c>
      <c r="D41" s="13">
        <v>23476.82</v>
      </c>
      <c r="E41" s="13">
        <v>31109.54</v>
      </c>
      <c r="F41" s="3">
        <v>10</v>
      </c>
      <c r="G41" s="3">
        <v>100</v>
      </c>
      <c r="H41" s="3" t="s">
        <v>146</v>
      </c>
    </row>
    <row r="42" spans="1:8">
      <c r="A42" s="3" t="s">
        <v>147</v>
      </c>
      <c r="B42" s="3" t="s">
        <v>148</v>
      </c>
      <c r="C42" s="3" t="s">
        <v>149</v>
      </c>
      <c r="D42" s="13">
        <v>1565.15</v>
      </c>
      <c r="E42" s="13">
        <v>2713.57</v>
      </c>
      <c r="F42" s="3">
        <v>5</v>
      </c>
      <c r="G42" s="3">
        <v>20</v>
      </c>
      <c r="H42" s="3" t="s">
        <v>150</v>
      </c>
    </row>
    <row r="43" spans="1:8">
      <c r="A43" s="3" t="s">
        <v>151</v>
      </c>
      <c r="B43" s="3" t="s">
        <v>152</v>
      </c>
      <c r="C43" s="3" t="s">
        <v>149</v>
      </c>
      <c r="D43" s="13">
        <v>1669.46</v>
      </c>
      <c r="E43" s="13">
        <v>2869.75</v>
      </c>
      <c r="F43" s="3">
        <v>5</v>
      </c>
      <c r="G43" s="3">
        <v>10</v>
      </c>
      <c r="H43" s="3" t="s">
        <v>153</v>
      </c>
    </row>
    <row r="44" spans="1:8">
      <c r="A44" s="3" t="s">
        <v>154</v>
      </c>
      <c r="B44" s="3" t="s">
        <v>155</v>
      </c>
      <c r="C44" s="3" t="s">
        <v>149</v>
      </c>
      <c r="D44" s="13">
        <v>1949.05</v>
      </c>
      <c r="E44" s="13">
        <v>3761.98</v>
      </c>
      <c r="F44" s="3">
        <v>7</v>
      </c>
      <c r="G44" s="3">
        <v>100</v>
      </c>
      <c r="H44" s="3" t="s">
        <v>156</v>
      </c>
    </row>
    <row r="45" spans="1:8">
      <c r="A45" s="3" t="s">
        <v>157</v>
      </c>
      <c r="B45" s="3" t="s">
        <v>158</v>
      </c>
      <c r="C45" s="3" t="s">
        <v>149</v>
      </c>
      <c r="D45" s="13">
        <v>689.89</v>
      </c>
      <c r="E45" s="13">
        <v>1236.52</v>
      </c>
      <c r="F45" s="3">
        <v>5</v>
      </c>
      <c r="G45" s="3">
        <v>25</v>
      </c>
      <c r="H45" s="3" t="s">
        <v>159</v>
      </c>
    </row>
    <row r="46" spans="1:8">
      <c r="A46" s="3" t="s">
        <v>160</v>
      </c>
      <c r="B46" s="3" t="s">
        <v>161</v>
      </c>
      <c r="C46" s="3" t="s">
        <v>149</v>
      </c>
      <c r="D46" s="13">
        <v>1116.76</v>
      </c>
      <c r="E46" s="13">
        <v>2023.15</v>
      </c>
      <c r="F46" s="3">
        <v>7</v>
      </c>
      <c r="G46" s="3">
        <v>10</v>
      </c>
      <c r="H46" s="3" t="s">
        <v>58</v>
      </c>
    </row>
    <row r="47" spans="1:8">
      <c r="A47" s="3" t="s">
        <v>162</v>
      </c>
      <c r="B47" s="3" t="s">
        <v>163</v>
      </c>
      <c r="C47" s="3" t="s">
        <v>149</v>
      </c>
      <c r="D47" s="13">
        <v>376.19</v>
      </c>
      <c r="E47" s="13">
        <v>732.28</v>
      </c>
      <c r="F47" s="3">
        <v>4</v>
      </c>
      <c r="G47" s="3">
        <v>50</v>
      </c>
      <c r="H47" s="3" t="s">
        <v>164</v>
      </c>
    </row>
    <row r="48" spans="1:8">
      <c r="A48" s="3" t="s">
        <v>165</v>
      </c>
      <c r="B48" s="3" t="s">
        <v>166</v>
      </c>
      <c r="C48" s="3" t="s">
        <v>149</v>
      </c>
      <c r="D48" s="13">
        <v>699.45</v>
      </c>
      <c r="E48" s="13">
        <v>1299.98</v>
      </c>
      <c r="F48" s="3">
        <v>3</v>
      </c>
      <c r="G48" s="3">
        <v>25</v>
      </c>
      <c r="H48" s="3" t="s">
        <v>167</v>
      </c>
    </row>
    <row r="49" spans="1:8">
      <c r="A49" s="3" t="s">
        <v>168</v>
      </c>
      <c r="B49" s="3" t="s">
        <v>169</v>
      </c>
      <c r="C49" s="3" t="s">
        <v>149</v>
      </c>
      <c r="D49" s="13">
        <v>979.21</v>
      </c>
      <c r="E49" s="13">
        <v>1717.28</v>
      </c>
      <c r="F49" s="3">
        <v>10</v>
      </c>
      <c r="G49" s="3">
        <v>50</v>
      </c>
      <c r="H49" s="3" t="s">
        <v>170</v>
      </c>
    </row>
    <row r="50" spans="1:8">
      <c r="A50" s="3" t="s">
        <v>171</v>
      </c>
      <c r="B50" s="3" t="s">
        <v>172</v>
      </c>
      <c r="C50" s="3" t="s">
        <v>149</v>
      </c>
      <c r="D50" s="13">
        <v>1971.93</v>
      </c>
      <c r="E50" s="13">
        <v>3818.42</v>
      </c>
      <c r="F50" s="3">
        <v>5</v>
      </c>
      <c r="G50" s="3">
        <v>50</v>
      </c>
      <c r="H50" s="3" t="s">
        <v>173</v>
      </c>
    </row>
    <row r="51" spans="1:8">
      <c r="A51" s="3" t="s">
        <v>174</v>
      </c>
      <c r="B51" s="3" t="s">
        <v>175</v>
      </c>
      <c r="C51" s="3" t="s">
        <v>149</v>
      </c>
      <c r="D51" s="13">
        <v>188.1</v>
      </c>
      <c r="E51" s="13">
        <v>344.52</v>
      </c>
      <c r="F51" s="3">
        <v>3</v>
      </c>
      <c r="G51" s="3">
        <v>100</v>
      </c>
      <c r="H51" s="3" t="s">
        <v>64</v>
      </c>
    </row>
    <row r="52" spans="1:8">
      <c r="A52" s="3" t="s">
        <v>176</v>
      </c>
      <c r="B52" s="3" t="s">
        <v>177</v>
      </c>
      <c r="C52" s="3" t="s">
        <v>149</v>
      </c>
      <c r="D52" s="13">
        <v>1645.08</v>
      </c>
      <c r="E52" s="13">
        <v>3189.79</v>
      </c>
      <c r="F52" s="3">
        <v>10</v>
      </c>
      <c r="G52" s="3">
        <v>10</v>
      </c>
      <c r="H52" s="3" t="s">
        <v>178</v>
      </c>
    </row>
    <row r="53" spans="1:8">
      <c r="A53" s="3" t="s">
        <v>179</v>
      </c>
      <c r="B53" s="3" t="s">
        <v>180</v>
      </c>
      <c r="C53" s="3" t="s">
        <v>149</v>
      </c>
      <c r="D53" s="13">
        <v>2255.89</v>
      </c>
      <c r="E53" s="13">
        <v>3995.69</v>
      </c>
      <c r="F53" s="3">
        <v>2</v>
      </c>
      <c r="G53" s="3">
        <v>50</v>
      </c>
      <c r="H53" s="3" t="s">
        <v>181</v>
      </c>
    </row>
    <row r="54" spans="1:8">
      <c r="A54" s="3" t="s">
        <v>182</v>
      </c>
      <c r="B54" s="3" t="s">
        <v>183</v>
      </c>
      <c r="C54" s="3" t="s">
        <v>149</v>
      </c>
      <c r="D54" s="13">
        <v>605.1</v>
      </c>
      <c r="E54" s="13">
        <v>1032.36</v>
      </c>
      <c r="F54" s="3">
        <v>2</v>
      </c>
      <c r="G54" s="3">
        <v>50</v>
      </c>
      <c r="H54" s="3" t="s">
        <v>167</v>
      </c>
    </row>
    <row r="55" spans="1:8">
      <c r="A55" s="3" t="s">
        <v>184</v>
      </c>
      <c r="B55" s="3" t="s">
        <v>185</v>
      </c>
      <c r="C55" s="3" t="s">
        <v>149</v>
      </c>
      <c r="D55" s="13">
        <v>1720.36</v>
      </c>
      <c r="E55" s="13">
        <v>3264.48</v>
      </c>
      <c r="F55" s="3">
        <v>2</v>
      </c>
      <c r="G55" s="3">
        <v>100</v>
      </c>
      <c r="H55" s="3" t="s">
        <v>186</v>
      </c>
    </row>
    <row r="56" spans="1:8">
      <c r="A56" s="3" t="s">
        <v>187</v>
      </c>
      <c r="B56" s="3" t="s">
        <v>188</v>
      </c>
      <c r="C56" s="3" t="s">
        <v>149</v>
      </c>
      <c r="D56" s="13">
        <v>234.41</v>
      </c>
      <c r="E56" s="13">
        <v>447.56</v>
      </c>
      <c r="F56" s="3">
        <v>4</v>
      </c>
      <c r="G56" s="3">
        <v>10</v>
      </c>
      <c r="H56" s="3" t="s">
        <v>189</v>
      </c>
    </row>
    <row r="57" spans="1:8">
      <c r="A57" s="3" t="s">
        <v>190</v>
      </c>
      <c r="B57" s="3" t="s">
        <v>191</v>
      </c>
      <c r="C57" s="3" t="s">
        <v>149</v>
      </c>
      <c r="D57" s="13">
        <v>1577.91</v>
      </c>
      <c r="E57" s="13">
        <v>3017.1</v>
      </c>
      <c r="F57" s="3">
        <v>7</v>
      </c>
      <c r="G57" s="3">
        <v>10</v>
      </c>
      <c r="H57" s="3" t="s">
        <v>192</v>
      </c>
    </row>
    <row r="58" spans="1:8">
      <c r="A58" s="3" t="s">
        <v>193</v>
      </c>
      <c r="B58" s="3" t="s">
        <v>194</v>
      </c>
      <c r="C58" s="3" t="s">
        <v>149</v>
      </c>
      <c r="D58" s="13">
        <v>2029.53</v>
      </c>
      <c r="E58" s="13">
        <v>3570.34</v>
      </c>
      <c r="F58" s="3">
        <v>2</v>
      </c>
      <c r="G58" s="3">
        <v>25</v>
      </c>
      <c r="H58" s="3" t="s">
        <v>195</v>
      </c>
    </row>
    <row r="59" spans="1:8">
      <c r="A59" s="3" t="s">
        <v>196</v>
      </c>
      <c r="B59" s="3" t="s">
        <v>197</v>
      </c>
      <c r="C59" s="3" t="s">
        <v>149</v>
      </c>
      <c r="D59" s="13">
        <v>1798.47</v>
      </c>
      <c r="E59" s="13">
        <v>3200.1</v>
      </c>
      <c r="F59" s="3">
        <v>2</v>
      </c>
      <c r="G59" s="3">
        <v>50</v>
      </c>
      <c r="H59" s="3" t="s">
        <v>198</v>
      </c>
    </row>
    <row r="60" spans="1:8">
      <c r="A60" s="3" t="s">
        <v>199</v>
      </c>
      <c r="B60" s="3" t="s">
        <v>200</v>
      </c>
      <c r="C60" s="3" t="s">
        <v>149</v>
      </c>
      <c r="D60" s="13">
        <v>1961.64</v>
      </c>
      <c r="E60" s="13">
        <v>3779.2</v>
      </c>
      <c r="F60" s="3">
        <v>4</v>
      </c>
      <c r="G60" s="3">
        <v>20</v>
      </c>
      <c r="H60" s="3" t="s">
        <v>201</v>
      </c>
    </row>
    <row r="61" spans="1:8">
      <c r="A61" s="3" t="s">
        <v>202</v>
      </c>
      <c r="B61" s="3" t="s">
        <v>203</v>
      </c>
      <c r="C61" s="3" t="s">
        <v>149</v>
      </c>
      <c r="D61" s="13">
        <v>775.48</v>
      </c>
      <c r="E61" s="13">
        <v>1426.41</v>
      </c>
      <c r="F61" s="3">
        <v>5</v>
      </c>
      <c r="G61" s="3">
        <v>25</v>
      </c>
      <c r="H61" s="3" t="s">
        <v>64</v>
      </c>
    </row>
    <row r="62" spans="1:8">
      <c r="A62" s="3" t="s">
        <v>204</v>
      </c>
      <c r="B62" s="3" t="s">
        <v>205</v>
      </c>
      <c r="C62" s="3" t="s">
        <v>149</v>
      </c>
      <c r="D62" s="13">
        <v>749.53</v>
      </c>
      <c r="E62" s="13">
        <v>1472.05</v>
      </c>
      <c r="F62" s="3">
        <v>4</v>
      </c>
      <c r="G62" s="3">
        <v>25</v>
      </c>
      <c r="H62" s="3" t="s">
        <v>159</v>
      </c>
    </row>
    <row r="63" spans="1:8">
      <c r="A63" s="3" t="s">
        <v>206</v>
      </c>
      <c r="B63" s="3" t="s">
        <v>207</v>
      </c>
      <c r="C63" s="3" t="s">
        <v>149</v>
      </c>
      <c r="D63" s="13">
        <v>1630.74</v>
      </c>
      <c r="E63" s="13">
        <v>2896.41</v>
      </c>
      <c r="F63" s="3">
        <v>3</v>
      </c>
      <c r="G63" s="3">
        <v>20</v>
      </c>
      <c r="H63" s="3" t="s">
        <v>164</v>
      </c>
    </row>
    <row r="64" spans="1:8">
      <c r="A64" s="3" t="s">
        <v>208</v>
      </c>
      <c r="B64" s="3" t="s">
        <v>209</v>
      </c>
      <c r="C64" s="3" t="s">
        <v>149</v>
      </c>
      <c r="D64" s="13">
        <v>1253.62</v>
      </c>
      <c r="E64" s="13">
        <v>2196.14</v>
      </c>
      <c r="F64" s="3">
        <v>10</v>
      </c>
      <c r="G64" s="3">
        <v>20</v>
      </c>
      <c r="H64" s="3" t="s">
        <v>41</v>
      </c>
    </row>
    <row r="65" spans="1:8">
      <c r="A65" s="3" t="s">
        <v>210</v>
      </c>
      <c r="B65" s="3" t="s">
        <v>211</v>
      </c>
      <c r="C65" s="3" t="s">
        <v>149</v>
      </c>
      <c r="D65" s="13">
        <v>1866.77</v>
      </c>
      <c r="E65" s="13">
        <v>3397.31</v>
      </c>
      <c r="F65" s="3">
        <v>2</v>
      </c>
      <c r="G65" s="3">
        <v>10</v>
      </c>
      <c r="H65" s="3" t="s">
        <v>212</v>
      </c>
    </row>
    <row r="66" spans="1:8">
      <c r="A66" s="3" t="s">
        <v>213</v>
      </c>
      <c r="B66" s="3" t="s">
        <v>214</v>
      </c>
      <c r="C66" s="3" t="s">
        <v>149</v>
      </c>
      <c r="D66" s="13">
        <v>834.42</v>
      </c>
      <c r="E66" s="13">
        <v>1460.41</v>
      </c>
      <c r="F66" s="3">
        <v>7</v>
      </c>
      <c r="G66" s="3">
        <v>10</v>
      </c>
      <c r="H66" s="3" t="s">
        <v>215</v>
      </c>
    </row>
    <row r="67" spans="1:8">
      <c r="A67" s="3" t="s">
        <v>216</v>
      </c>
      <c r="B67" s="3" t="s">
        <v>217</v>
      </c>
      <c r="C67" s="3" t="s">
        <v>149</v>
      </c>
      <c r="D67" s="13">
        <v>973.59</v>
      </c>
      <c r="E67" s="13">
        <v>1649.2</v>
      </c>
      <c r="F67" s="3">
        <v>7</v>
      </c>
      <c r="G67" s="3">
        <v>20</v>
      </c>
      <c r="H67" s="3" t="s">
        <v>218</v>
      </c>
    </row>
    <row r="68" spans="1:8">
      <c r="A68" s="3" t="s">
        <v>219</v>
      </c>
      <c r="B68" s="3" t="s">
        <v>220</v>
      </c>
      <c r="C68" s="3" t="s">
        <v>149</v>
      </c>
      <c r="D68" s="13">
        <v>1353.69</v>
      </c>
      <c r="E68" s="13">
        <v>2670.29</v>
      </c>
      <c r="F68" s="3">
        <v>4</v>
      </c>
      <c r="G68" s="3">
        <v>100</v>
      </c>
      <c r="H68" s="3" t="s">
        <v>221</v>
      </c>
    </row>
    <row r="69" spans="1:8">
      <c r="A69" s="3" t="s">
        <v>222</v>
      </c>
      <c r="B69" s="3" t="s">
        <v>223</v>
      </c>
      <c r="C69" s="3" t="s">
        <v>149</v>
      </c>
      <c r="D69" s="13">
        <v>2196.83</v>
      </c>
      <c r="E69" s="13">
        <v>3958.79</v>
      </c>
      <c r="F69" s="3">
        <v>14</v>
      </c>
      <c r="G69" s="3">
        <v>20</v>
      </c>
      <c r="H69" s="3" t="s">
        <v>32</v>
      </c>
    </row>
    <row r="70" spans="1:8">
      <c r="A70" s="3" t="s">
        <v>224</v>
      </c>
      <c r="B70" s="3" t="s">
        <v>225</v>
      </c>
      <c r="C70" s="3" t="s">
        <v>149</v>
      </c>
      <c r="D70" s="13">
        <v>340.72</v>
      </c>
      <c r="E70" s="13">
        <v>595.18</v>
      </c>
      <c r="F70" s="3">
        <v>4</v>
      </c>
      <c r="G70" s="3">
        <v>100</v>
      </c>
      <c r="H70" s="3" t="s">
        <v>133</v>
      </c>
    </row>
    <row r="71" spans="1:8">
      <c r="A71" s="3" t="s">
        <v>226</v>
      </c>
      <c r="B71" s="3" t="s">
        <v>227</v>
      </c>
      <c r="C71" s="3" t="s">
        <v>149</v>
      </c>
      <c r="D71" s="13">
        <v>244.4</v>
      </c>
      <c r="E71" s="13">
        <v>464.2</v>
      </c>
      <c r="F71" s="3">
        <v>4</v>
      </c>
      <c r="G71" s="3">
        <v>20</v>
      </c>
      <c r="H71" s="3" t="s">
        <v>228</v>
      </c>
    </row>
    <row r="72" spans="1:8">
      <c r="A72" s="3" t="s">
        <v>229</v>
      </c>
      <c r="B72" s="3" t="s">
        <v>230</v>
      </c>
      <c r="C72" s="3" t="s">
        <v>149</v>
      </c>
      <c r="D72" s="13">
        <v>1922.57</v>
      </c>
      <c r="E72" s="13">
        <v>3420.28</v>
      </c>
      <c r="F72" s="3">
        <v>5</v>
      </c>
      <c r="G72" s="3">
        <v>20</v>
      </c>
      <c r="H72" s="3" t="s">
        <v>38</v>
      </c>
    </row>
    <row r="73" spans="1:8">
      <c r="A73" s="3" t="s">
        <v>231</v>
      </c>
      <c r="B73" s="3" t="s">
        <v>232</v>
      </c>
      <c r="C73" s="3" t="s">
        <v>149</v>
      </c>
      <c r="D73" s="13">
        <v>1877.71</v>
      </c>
      <c r="E73" s="13">
        <v>3423.57</v>
      </c>
      <c r="F73" s="3">
        <v>10</v>
      </c>
      <c r="G73" s="3">
        <v>100</v>
      </c>
      <c r="H73" s="3" t="s">
        <v>233</v>
      </c>
    </row>
    <row r="74" spans="1:8">
      <c r="A74" s="3" t="s">
        <v>234</v>
      </c>
      <c r="B74" s="3" t="s">
        <v>235</v>
      </c>
      <c r="C74" s="3" t="s">
        <v>149</v>
      </c>
      <c r="D74" s="13">
        <v>857.39</v>
      </c>
      <c r="E74" s="13">
        <v>1559.19</v>
      </c>
      <c r="F74" s="3">
        <v>2</v>
      </c>
      <c r="G74" s="3">
        <v>10</v>
      </c>
      <c r="H74" s="3" t="s">
        <v>118</v>
      </c>
    </row>
    <row r="75" spans="1:8">
      <c r="A75" s="3" t="s">
        <v>236</v>
      </c>
      <c r="B75" s="3" t="s">
        <v>237</v>
      </c>
      <c r="C75" s="3" t="s">
        <v>149</v>
      </c>
      <c r="D75" s="13">
        <v>811.88</v>
      </c>
      <c r="E75" s="13">
        <v>1552.77</v>
      </c>
      <c r="F75" s="3">
        <v>10</v>
      </c>
      <c r="G75" s="3">
        <v>10</v>
      </c>
      <c r="H75" s="3" t="s">
        <v>238</v>
      </c>
    </row>
    <row r="76" spans="1:8">
      <c r="A76" s="3" t="s">
        <v>239</v>
      </c>
      <c r="B76" s="3" t="s">
        <v>240</v>
      </c>
      <c r="C76" s="3" t="s">
        <v>149</v>
      </c>
      <c r="D76" s="13">
        <v>753.95</v>
      </c>
      <c r="E76" s="13">
        <v>1327.68</v>
      </c>
      <c r="F76" s="3">
        <v>14</v>
      </c>
      <c r="G76" s="3">
        <v>100</v>
      </c>
      <c r="H76" s="3" t="s">
        <v>241</v>
      </c>
    </row>
    <row r="77" spans="1:8">
      <c r="A77" s="3" t="s">
        <v>242</v>
      </c>
      <c r="B77" s="3" t="s">
        <v>243</v>
      </c>
      <c r="C77" s="3" t="s">
        <v>244</v>
      </c>
      <c r="D77" s="13">
        <v>2822.15</v>
      </c>
      <c r="E77" s="13">
        <v>4379.04</v>
      </c>
      <c r="F77" s="3">
        <v>10</v>
      </c>
      <c r="G77" s="3">
        <v>25</v>
      </c>
      <c r="H77" s="3" t="s">
        <v>153</v>
      </c>
    </row>
    <row r="78" spans="1:8">
      <c r="A78" s="3" t="s">
        <v>245</v>
      </c>
      <c r="B78" s="3" t="s">
        <v>246</v>
      </c>
      <c r="C78" s="3" t="s">
        <v>244</v>
      </c>
      <c r="D78" s="13">
        <v>2094.6</v>
      </c>
      <c r="E78" s="13">
        <v>3407</v>
      </c>
      <c r="F78" s="3">
        <v>14</v>
      </c>
      <c r="G78" s="3">
        <v>50</v>
      </c>
      <c r="H78" s="3" t="s">
        <v>61</v>
      </c>
    </row>
    <row r="79" spans="1:8">
      <c r="A79" s="3" t="s">
        <v>247</v>
      </c>
      <c r="B79" s="3" t="s">
        <v>248</v>
      </c>
      <c r="C79" s="3" t="s">
        <v>244</v>
      </c>
      <c r="D79" s="13">
        <v>1245.44</v>
      </c>
      <c r="E79" s="13">
        <v>2208.66</v>
      </c>
      <c r="F79" s="3">
        <v>7</v>
      </c>
      <c r="G79" s="3">
        <v>100</v>
      </c>
      <c r="H79" s="3" t="s">
        <v>118</v>
      </c>
    </row>
    <row r="80" spans="1:8">
      <c r="A80" s="3" t="s">
        <v>249</v>
      </c>
      <c r="B80" s="3" t="s">
        <v>250</v>
      </c>
      <c r="C80" s="3" t="s">
        <v>244</v>
      </c>
      <c r="D80" s="13">
        <v>1624.6</v>
      </c>
      <c r="E80" s="13">
        <v>2586.14</v>
      </c>
      <c r="F80" s="3">
        <v>5</v>
      </c>
      <c r="G80" s="3">
        <v>20</v>
      </c>
      <c r="H80" s="3" t="s">
        <v>170</v>
      </c>
    </row>
    <row r="81" spans="1:8">
      <c r="A81" s="3" t="s">
        <v>251</v>
      </c>
      <c r="B81" s="3" t="s">
        <v>252</v>
      </c>
      <c r="C81" s="3" t="s">
        <v>244</v>
      </c>
      <c r="D81" s="13">
        <v>270.81</v>
      </c>
      <c r="E81" s="13">
        <v>481.45</v>
      </c>
      <c r="F81" s="3">
        <v>7</v>
      </c>
      <c r="G81" s="3">
        <v>10</v>
      </c>
      <c r="H81" s="3" t="s">
        <v>253</v>
      </c>
    </row>
    <row r="82" spans="1:8">
      <c r="A82" s="3" t="s">
        <v>254</v>
      </c>
      <c r="B82" s="3" t="s">
        <v>255</v>
      </c>
      <c r="C82" s="3" t="s">
        <v>244</v>
      </c>
      <c r="D82" s="13">
        <v>953.83</v>
      </c>
      <c r="E82" s="13">
        <v>1559.3</v>
      </c>
      <c r="F82" s="3">
        <v>2</v>
      </c>
      <c r="G82" s="3">
        <v>25</v>
      </c>
      <c r="H82" s="3" t="s">
        <v>112</v>
      </c>
    </row>
    <row r="83" spans="1:8">
      <c r="A83" s="3" t="s">
        <v>256</v>
      </c>
      <c r="B83" s="3" t="s">
        <v>257</v>
      </c>
      <c r="C83" s="3" t="s">
        <v>244</v>
      </c>
      <c r="D83" s="13">
        <v>3325.07</v>
      </c>
      <c r="E83" s="13">
        <v>5393.68</v>
      </c>
      <c r="F83" s="3">
        <v>10</v>
      </c>
      <c r="G83" s="3">
        <v>25</v>
      </c>
      <c r="H83" s="3" t="s">
        <v>106</v>
      </c>
    </row>
    <row r="84" spans="1:8">
      <c r="A84" s="3" t="s">
        <v>258</v>
      </c>
      <c r="B84" s="3" t="s">
        <v>259</v>
      </c>
      <c r="C84" s="3" t="s">
        <v>244</v>
      </c>
      <c r="D84" s="13">
        <v>1446.68</v>
      </c>
      <c r="E84" s="13">
        <v>2501.25</v>
      </c>
      <c r="F84" s="3">
        <v>3</v>
      </c>
      <c r="G84" s="3">
        <v>50</v>
      </c>
      <c r="H84" s="3" t="s">
        <v>55</v>
      </c>
    </row>
    <row r="85" spans="1:8">
      <c r="A85" s="3" t="s">
        <v>260</v>
      </c>
      <c r="B85" s="3" t="s">
        <v>261</v>
      </c>
      <c r="C85" s="3" t="s">
        <v>244</v>
      </c>
      <c r="D85" s="13">
        <v>3163.01</v>
      </c>
      <c r="E85" s="13">
        <v>4882.1</v>
      </c>
      <c r="F85" s="3">
        <v>4</v>
      </c>
      <c r="G85" s="3">
        <v>100</v>
      </c>
      <c r="H85" s="3" t="s">
        <v>159</v>
      </c>
    </row>
    <row r="86" spans="1:8">
      <c r="A86" s="3" t="s">
        <v>262</v>
      </c>
      <c r="B86" s="3" t="s">
        <v>263</v>
      </c>
      <c r="C86" s="3" t="s">
        <v>244</v>
      </c>
      <c r="D86" s="13">
        <v>2597.44</v>
      </c>
      <c r="E86" s="13">
        <v>4264.11</v>
      </c>
      <c r="F86" s="3">
        <v>10</v>
      </c>
      <c r="G86" s="3">
        <v>10</v>
      </c>
      <c r="H86" s="3" t="s">
        <v>64</v>
      </c>
    </row>
    <row r="87" spans="1:8">
      <c r="A87" s="3" t="s">
        <v>264</v>
      </c>
      <c r="B87" s="3" t="s">
        <v>265</v>
      </c>
      <c r="C87" s="3" t="s">
        <v>244</v>
      </c>
      <c r="D87" s="13">
        <v>758.83</v>
      </c>
      <c r="E87" s="13">
        <v>1370.48</v>
      </c>
      <c r="F87" s="3">
        <v>5</v>
      </c>
      <c r="G87" s="3">
        <v>50</v>
      </c>
      <c r="H87" s="3" t="s">
        <v>156</v>
      </c>
    </row>
    <row r="88" spans="1:8">
      <c r="A88" s="3" t="s">
        <v>266</v>
      </c>
      <c r="B88" s="3" t="s">
        <v>267</v>
      </c>
      <c r="C88" s="3" t="s">
        <v>244</v>
      </c>
      <c r="D88" s="13">
        <v>1932.58</v>
      </c>
      <c r="E88" s="13">
        <v>3335.97</v>
      </c>
      <c r="F88" s="3">
        <v>3</v>
      </c>
      <c r="G88" s="3">
        <v>50</v>
      </c>
      <c r="H88" s="3" t="s">
        <v>268</v>
      </c>
    </row>
    <row r="89" spans="1:8">
      <c r="A89" s="3" t="s">
        <v>269</v>
      </c>
      <c r="B89" s="3" t="s">
        <v>270</v>
      </c>
      <c r="C89" s="3" t="s">
        <v>244</v>
      </c>
      <c r="D89" s="13">
        <v>2228.59</v>
      </c>
      <c r="E89" s="13">
        <v>3625.32</v>
      </c>
      <c r="F89" s="3">
        <v>3</v>
      </c>
      <c r="G89" s="3">
        <v>20</v>
      </c>
      <c r="H89" s="3" t="s">
        <v>271</v>
      </c>
    </row>
    <row r="90" spans="1:8">
      <c r="A90" s="3" t="s">
        <v>272</v>
      </c>
      <c r="B90" s="3" t="s">
        <v>273</v>
      </c>
      <c r="C90" s="3" t="s">
        <v>244</v>
      </c>
      <c r="D90" s="13">
        <v>2170.24</v>
      </c>
      <c r="E90" s="13">
        <v>3455.64</v>
      </c>
      <c r="F90" s="3">
        <v>4</v>
      </c>
      <c r="G90" s="3">
        <v>100</v>
      </c>
      <c r="H90" s="3" t="s">
        <v>274</v>
      </c>
    </row>
    <row r="91" spans="1:8">
      <c r="A91" s="3" t="s">
        <v>275</v>
      </c>
      <c r="B91" s="3" t="s">
        <v>276</v>
      </c>
      <c r="C91" s="3" t="s">
        <v>244</v>
      </c>
      <c r="D91" s="13">
        <v>3410.31</v>
      </c>
      <c r="E91" s="13">
        <v>5433.81</v>
      </c>
      <c r="F91" s="3">
        <v>5</v>
      </c>
      <c r="G91" s="3">
        <v>100</v>
      </c>
      <c r="H91" s="3" t="s">
        <v>277</v>
      </c>
    </row>
    <row r="92" spans="1:8">
      <c r="A92" s="3" t="s">
        <v>278</v>
      </c>
      <c r="B92" s="3" t="s">
        <v>279</v>
      </c>
      <c r="C92" s="3" t="s">
        <v>244</v>
      </c>
      <c r="D92" s="13">
        <v>1883.29</v>
      </c>
      <c r="E92" s="13">
        <v>3172.85</v>
      </c>
      <c r="F92" s="3">
        <v>14</v>
      </c>
      <c r="G92" s="3">
        <v>20</v>
      </c>
      <c r="H92" s="3" t="s">
        <v>133</v>
      </c>
    </row>
    <row r="93" spans="1:8">
      <c r="A93" s="3" t="s">
        <v>280</v>
      </c>
      <c r="B93" s="3" t="s">
        <v>281</v>
      </c>
      <c r="C93" s="3" t="s">
        <v>244</v>
      </c>
      <c r="D93" s="13">
        <v>344.95</v>
      </c>
      <c r="E93" s="13">
        <v>579.08</v>
      </c>
      <c r="F93" s="3">
        <v>3</v>
      </c>
      <c r="G93" s="3">
        <v>20</v>
      </c>
      <c r="H93" s="3" t="s">
        <v>150</v>
      </c>
    </row>
    <row r="94" spans="1:8">
      <c r="A94" s="3" t="s">
        <v>282</v>
      </c>
      <c r="B94" s="3" t="s">
        <v>283</v>
      </c>
      <c r="C94" s="3" t="s">
        <v>244</v>
      </c>
      <c r="D94" s="13">
        <v>340.51</v>
      </c>
      <c r="E94" s="13">
        <v>550.07</v>
      </c>
      <c r="F94" s="3">
        <v>3</v>
      </c>
      <c r="G94" s="3">
        <v>10</v>
      </c>
      <c r="H94" s="3" t="s">
        <v>284</v>
      </c>
    </row>
    <row r="95" spans="1:8">
      <c r="A95" s="3" t="s">
        <v>285</v>
      </c>
      <c r="B95" s="3" t="s">
        <v>286</v>
      </c>
      <c r="C95" s="3" t="s">
        <v>244</v>
      </c>
      <c r="D95" s="13">
        <v>2872.69</v>
      </c>
      <c r="E95" s="13">
        <v>5203.03</v>
      </c>
      <c r="F95" s="3">
        <v>4</v>
      </c>
      <c r="G95" s="3">
        <v>100</v>
      </c>
      <c r="H95" s="3" t="s">
        <v>287</v>
      </c>
    </row>
    <row r="96" spans="1:8">
      <c r="A96" s="3" t="s">
        <v>288</v>
      </c>
      <c r="B96" s="3" t="s">
        <v>289</v>
      </c>
      <c r="C96" s="3" t="s">
        <v>244</v>
      </c>
      <c r="D96" s="13">
        <v>996.29</v>
      </c>
      <c r="E96" s="13">
        <v>1709.02</v>
      </c>
      <c r="F96" s="3">
        <v>4</v>
      </c>
      <c r="G96" s="3">
        <v>100</v>
      </c>
      <c r="H96" s="3" t="s">
        <v>76</v>
      </c>
    </row>
    <row r="97" spans="1:8">
      <c r="A97" s="3" t="s">
        <v>290</v>
      </c>
      <c r="B97" s="3" t="s">
        <v>291</v>
      </c>
      <c r="C97" s="3" t="s">
        <v>244</v>
      </c>
      <c r="D97" s="13">
        <v>286.61</v>
      </c>
      <c r="E97" s="13">
        <v>480.7</v>
      </c>
      <c r="F97" s="3">
        <v>3</v>
      </c>
      <c r="G97" s="3">
        <v>100</v>
      </c>
      <c r="H97" s="3" t="s">
        <v>133</v>
      </c>
    </row>
    <row r="98" spans="1:8">
      <c r="A98" s="3" t="s">
        <v>292</v>
      </c>
      <c r="B98" s="3" t="s">
        <v>293</v>
      </c>
      <c r="C98" s="3" t="s">
        <v>244</v>
      </c>
      <c r="D98" s="13">
        <v>144.06</v>
      </c>
      <c r="E98" s="13">
        <v>252.71</v>
      </c>
      <c r="F98" s="3">
        <v>2</v>
      </c>
      <c r="G98" s="3">
        <v>25</v>
      </c>
      <c r="H98" s="3" t="s">
        <v>64</v>
      </c>
    </row>
    <row r="99" spans="1:8">
      <c r="A99" s="3" t="s">
        <v>294</v>
      </c>
      <c r="B99" s="3" t="s">
        <v>295</v>
      </c>
      <c r="C99" s="3" t="s">
        <v>244</v>
      </c>
      <c r="D99" s="13">
        <v>2831.73</v>
      </c>
      <c r="E99" s="13">
        <v>5125.72</v>
      </c>
      <c r="F99" s="3">
        <v>5</v>
      </c>
      <c r="G99" s="3">
        <v>100</v>
      </c>
      <c r="H99" s="3" t="s">
        <v>61</v>
      </c>
    </row>
    <row r="100" spans="1:8">
      <c r="A100" s="3" t="s">
        <v>296</v>
      </c>
      <c r="B100" s="3" t="s">
        <v>297</v>
      </c>
      <c r="C100" s="3" t="s">
        <v>244</v>
      </c>
      <c r="D100" s="13">
        <v>1071.53</v>
      </c>
      <c r="E100" s="13">
        <v>1673.73</v>
      </c>
      <c r="F100" s="3">
        <v>5</v>
      </c>
      <c r="G100" s="3">
        <v>50</v>
      </c>
      <c r="H100" s="3" t="s">
        <v>170</v>
      </c>
    </row>
    <row r="101" spans="1:8">
      <c r="A101" s="3" t="s">
        <v>298</v>
      </c>
      <c r="B101" s="3" t="s">
        <v>299</v>
      </c>
      <c r="C101" s="3" t="s">
        <v>244</v>
      </c>
      <c r="D101" s="13">
        <v>2109.66</v>
      </c>
      <c r="E101" s="13">
        <v>3683.26</v>
      </c>
      <c r="F101" s="3">
        <v>3</v>
      </c>
      <c r="G101" s="3">
        <v>20</v>
      </c>
      <c r="H101" s="3" t="s">
        <v>150</v>
      </c>
    </row>
    <row r="102" spans="1:8">
      <c r="A102" s="3" t="s">
        <v>300</v>
      </c>
      <c r="B102" s="3" t="s">
        <v>301</v>
      </c>
      <c r="C102" s="3" t="s">
        <v>244</v>
      </c>
      <c r="D102" s="13">
        <v>175.7</v>
      </c>
      <c r="E102" s="13">
        <v>309.4</v>
      </c>
      <c r="F102" s="3">
        <v>7</v>
      </c>
      <c r="G102" s="3">
        <v>25</v>
      </c>
      <c r="H102" s="3" t="s">
        <v>302</v>
      </c>
    </row>
    <row r="103" spans="1:8">
      <c r="A103" s="3" t="s">
        <v>303</v>
      </c>
      <c r="B103" s="3" t="s">
        <v>304</v>
      </c>
      <c r="C103" s="3" t="s">
        <v>244</v>
      </c>
      <c r="D103" s="13">
        <v>526.16</v>
      </c>
      <c r="E103" s="13">
        <v>929.95</v>
      </c>
      <c r="F103" s="3">
        <v>3</v>
      </c>
      <c r="G103" s="3">
        <v>10</v>
      </c>
      <c r="H103" s="3" t="s">
        <v>305</v>
      </c>
    </row>
    <row r="104" spans="1:8">
      <c r="A104" s="3" t="s">
        <v>306</v>
      </c>
      <c r="B104" s="3" t="s">
        <v>307</v>
      </c>
      <c r="C104" s="3" t="s">
        <v>244</v>
      </c>
      <c r="D104" s="13">
        <v>3623.75</v>
      </c>
      <c r="E104" s="13">
        <v>5958.89</v>
      </c>
      <c r="F104" s="3">
        <v>10</v>
      </c>
      <c r="G104" s="3">
        <v>10</v>
      </c>
      <c r="H104" s="3" t="s">
        <v>308</v>
      </c>
    </row>
    <row r="105" spans="1:8">
      <c r="A105" s="3" t="s">
        <v>309</v>
      </c>
      <c r="B105" s="3" t="s">
        <v>310</v>
      </c>
      <c r="C105" s="3" t="s">
        <v>244</v>
      </c>
      <c r="D105" s="13">
        <v>2116.63</v>
      </c>
      <c r="E105" s="13">
        <v>3647.49</v>
      </c>
      <c r="F105" s="3">
        <v>7</v>
      </c>
      <c r="G105" s="3">
        <v>20</v>
      </c>
      <c r="H105" s="3" t="s">
        <v>159</v>
      </c>
    </row>
    <row r="106" spans="1:8">
      <c r="A106" s="3" t="s">
        <v>311</v>
      </c>
      <c r="B106" s="3" t="s">
        <v>312</v>
      </c>
      <c r="C106" s="3" t="s">
        <v>244</v>
      </c>
      <c r="D106" s="13">
        <v>3035.96</v>
      </c>
      <c r="E106" s="13">
        <v>5267.55</v>
      </c>
      <c r="F106" s="3">
        <v>5</v>
      </c>
      <c r="G106" s="3">
        <v>25</v>
      </c>
      <c r="H106" s="3" t="s">
        <v>313</v>
      </c>
    </row>
    <row r="107" spans="1:8">
      <c r="A107" s="3" t="s">
        <v>314</v>
      </c>
      <c r="B107" s="3" t="s">
        <v>315</v>
      </c>
      <c r="C107" s="3" t="s">
        <v>316</v>
      </c>
      <c r="D107" s="13">
        <v>1033.83</v>
      </c>
      <c r="E107" s="13">
        <v>1919.21</v>
      </c>
      <c r="F107" s="3">
        <v>4</v>
      </c>
      <c r="G107" s="3">
        <v>25</v>
      </c>
      <c r="H107" s="3" t="s">
        <v>150</v>
      </c>
    </row>
    <row r="108" spans="1:8">
      <c r="A108" s="3" t="s">
        <v>317</v>
      </c>
      <c r="B108" s="3" t="s">
        <v>318</v>
      </c>
      <c r="C108" s="3" t="s">
        <v>316</v>
      </c>
      <c r="D108" s="13">
        <v>504.04</v>
      </c>
      <c r="E108" s="13">
        <v>1078.11</v>
      </c>
      <c r="F108" s="3">
        <v>4</v>
      </c>
      <c r="G108" s="3">
        <v>10</v>
      </c>
      <c r="H108" s="3" t="s">
        <v>319</v>
      </c>
    </row>
    <row r="109" spans="1:8">
      <c r="A109" s="3" t="s">
        <v>320</v>
      </c>
      <c r="B109" s="3" t="s">
        <v>321</v>
      </c>
      <c r="C109" s="3" t="s">
        <v>316</v>
      </c>
      <c r="D109" s="13">
        <v>305.55</v>
      </c>
      <c r="E109" s="13">
        <v>577.9</v>
      </c>
      <c r="F109" s="3">
        <v>3</v>
      </c>
      <c r="G109" s="3">
        <v>20</v>
      </c>
      <c r="H109" s="3" t="s">
        <v>313</v>
      </c>
    </row>
    <row r="110" spans="1:8">
      <c r="A110" s="3" t="s">
        <v>322</v>
      </c>
      <c r="B110" s="3" t="s">
        <v>323</v>
      </c>
      <c r="C110" s="3" t="s">
        <v>316</v>
      </c>
      <c r="D110" s="13">
        <v>695.83</v>
      </c>
      <c r="E110" s="13">
        <v>1339.85</v>
      </c>
      <c r="F110" s="3">
        <v>7</v>
      </c>
      <c r="G110" s="3">
        <v>100</v>
      </c>
      <c r="H110" s="3" t="s">
        <v>238</v>
      </c>
    </row>
    <row r="111" spans="1:8">
      <c r="A111" s="3" t="s">
        <v>324</v>
      </c>
      <c r="B111" s="3" t="s">
        <v>325</v>
      </c>
      <c r="C111" s="3" t="s">
        <v>316</v>
      </c>
      <c r="D111" s="13">
        <v>942.73</v>
      </c>
      <c r="E111" s="13">
        <v>2014.43</v>
      </c>
      <c r="F111" s="3">
        <v>7</v>
      </c>
      <c r="G111" s="3">
        <v>20</v>
      </c>
      <c r="H111" s="3" t="s">
        <v>167</v>
      </c>
    </row>
    <row r="112" spans="1:8">
      <c r="A112" s="3" t="s">
        <v>326</v>
      </c>
      <c r="B112" s="3" t="s">
        <v>327</v>
      </c>
      <c r="C112" s="3" t="s">
        <v>316</v>
      </c>
      <c r="D112" s="13">
        <v>969.27</v>
      </c>
      <c r="E112" s="13">
        <v>1825.35</v>
      </c>
      <c r="F112" s="3">
        <v>3</v>
      </c>
      <c r="G112" s="3">
        <v>50</v>
      </c>
      <c r="H112" s="3" t="s">
        <v>130</v>
      </c>
    </row>
    <row r="113" spans="1:8">
      <c r="A113" s="3" t="s">
        <v>328</v>
      </c>
      <c r="B113" s="3" t="s">
        <v>329</v>
      </c>
      <c r="C113" s="3" t="s">
        <v>316</v>
      </c>
      <c r="D113" s="13">
        <v>1165.89</v>
      </c>
      <c r="E113" s="13">
        <v>2343.92</v>
      </c>
      <c r="F113" s="3">
        <v>4</v>
      </c>
      <c r="G113" s="3">
        <v>50</v>
      </c>
      <c r="H113" s="3" t="s">
        <v>330</v>
      </c>
    </row>
    <row r="114" spans="1:8">
      <c r="A114" s="3" t="s">
        <v>331</v>
      </c>
      <c r="B114" s="3" t="s">
        <v>332</v>
      </c>
      <c r="C114" s="3" t="s">
        <v>316</v>
      </c>
      <c r="D114" s="13">
        <v>490.13</v>
      </c>
      <c r="E114" s="13">
        <v>913.75</v>
      </c>
      <c r="F114" s="3">
        <v>2</v>
      </c>
      <c r="G114" s="3">
        <v>10</v>
      </c>
      <c r="H114" s="3" t="s">
        <v>333</v>
      </c>
    </row>
    <row r="115" spans="1:8">
      <c r="A115" s="3" t="s">
        <v>334</v>
      </c>
      <c r="B115" s="3" t="s">
        <v>335</v>
      </c>
      <c r="C115" s="3" t="s">
        <v>316</v>
      </c>
      <c r="D115" s="13">
        <v>672.5</v>
      </c>
      <c r="E115" s="13">
        <v>1351.83</v>
      </c>
      <c r="F115" s="3">
        <v>2</v>
      </c>
      <c r="G115" s="3">
        <v>25</v>
      </c>
      <c r="H115" s="3" t="s">
        <v>336</v>
      </c>
    </row>
    <row r="116" spans="1:8">
      <c r="A116" s="3" t="s">
        <v>337</v>
      </c>
      <c r="B116" s="3" t="s">
        <v>338</v>
      </c>
      <c r="C116" s="3" t="s">
        <v>316</v>
      </c>
      <c r="D116" s="13">
        <v>175.11</v>
      </c>
      <c r="E116" s="13">
        <v>364.66</v>
      </c>
      <c r="F116" s="3">
        <v>7</v>
      </c>
      <c r="G116" s="3">
        <v>100</v>
      </c>
      <c r="H116" s="3" t="s">
        <v>170</v>
      </c>
    </row>
    <row r="117" spans="1:8">
      <c r="A117" s="3" t="s">
        <v>339</v>
      </c>
      <c r="B117" s="3" t="s">
        <v>340</v>
      </c>
      <c r="C117" s="3" t="s">
        <v>316</v>
      </c>
      <c r="D117" s="13">
        <v>127.82</v>
      </c>
      <c r="E117" s="13">
        <v>271.37</v>
      </c>
      <c r="F117" s="3">
        <v>5</v>
      </c>
      <c r="G117" s="3">
        <v>50</v>
      </c>
      <c r="H117" s="3" t="s">
        <v>61</v>
      </c>
    </row>
    <row r="118" spans="1:8">
      <c r="A118" s="3" t="s">
        <v>341</v>
      </c>
      <c r="B118" s="3" t="s">
        <v>342</v>
      </c>
      <c r="C118" s="3" t="s">
        <v>316</v>
      </c>
      <c r="D118" s="13">
        <v>662.83</v>
      </c>
      <c r="E118" s="13">
        <v>1400.67</v>
      </c>
      <c r="F118" s="3">
        <v>3</v>
      </c>
      <c r="G118" s="3">
        <v>20</v>
      </c>
      <c r="H118" s="3" t="s">
        <v>343</v>
      </c>
    </row>
    <row r="119" spans="1:8">
      <c r="A119" s="3" t="s">
        <v>344</v>
      </c>
      <c r="B119" s="3" t="s">
        <v>345</v>
      </c>
      <c r="C119" s="3" t="s">
        <v>316</v>
      </c>
      <c r="D119" s="13">
        <v>557.6</v>
      </c>
      <c r="E119" s="13">
        <v>1070.65</v>
      </c>
      <c r="F119" s="3">
        <v>3</v>
      </c>
      <c r="G119" s="3">
        <v>20</v>
      </c>
      <c r="H119" s="3" t="s">
        <v>346</v>
      </c>
    </row>
    <row r="120" spans="1:8">
      <c r="A120" s="3" t="s">
        <v>347</v>
      </c>
      <c r="B120" s="3" t="s">
        <v>348</v>
      </c>
      <c r="C120" s="3" t="s">
        <v>316</v>
      </c>
      <c r="D120" s="13">
        <v>1010.65</v>
      </c>
      <c r="E120" s="13">
        <v>2130.55</v>
      </c>
      <c r="F120" s="3">
        <v>4</v>
      </c>
      <c r="G120" s="3">
        <v>100</v>
      </c>
      <c r="H120" s="3" t="s">
        <v>178</v>
      </c>
    </row>
    <row r="121" spans="1:8">
      <c r="A121" s="3" t="s">
        <v>349</v>
      </c>
      <c r="B121" s="3" t="s">
        <v>350</v>
      </c>
      <c r="C121" s="3" t="s">
        <v>316</v>
      </c>
      <c r="D121" s="13">
        <v>1070.74</v>
      </c>
      <c r="E121" s="13">
        <v>2197.98</v>
      </c>
      <c r="F121" s="3">
        <v>3</v>
      </c>
      <c r="G121" s="3">
        <v>100</v>
      </c>
      <c r="H121" s="3" t="s">
        <v>133</v>
      </c>
    </row>
    <row r="122" spans="1:8">
      <c r="A122" s="3" t="s">
        <v>351</v>
      </c>
      <c r="B122" s="3" t="s">
        <v>352</v>
      </c>
      <c r="C122" s="3" t="s">
        <v>316</v>
      </c>
      <c r="D122" s="13">
        <v>1164.57</v>
      </c>
      <c r="E122" s="13">
        <v>2230.17</v>
      </c>
      <c r="F122" s="3">
        <v>4</v>
      </c>
      <c r="G122" s="3">
        <v>10</v>
      </c>
      <c r="H122" s="3" t="s">
        <v>130</v>
      </c>
    </row>
    <row r="123" spans="1:8">
      <c r="A123" s="3" t="s">
        <v>353</v>
      </c>
      <c r="B123" s="3" t="s">
        <v>354</v>
      </c>
      <c r="C123" s="3" t="s">
        <v>316</v>
      </c>
      <c r="D123" s="13">
        <v>214.79</v>
      </c>
      <c r="E123" s="13">
        <v>400.59</v>
      </c>
      <c r="F123" s="3">
        <v>14</v>
      </c>
      <c r="G123" s="3">
        <v>20</v>
      </c>
      <c r="H123" s="3" t="s">
        <v>55</v>
      </c>
    </row>
    <row r="124" spans="1:8">
      <c r="A124" s="3" t="s">
        <v>355</v>
      </c>
      <c r="B124" s="3" t="s">
        <v>356</v>
      </c>
      <c r="C124" s="3" t="s">
        <v>316</v>
      </c>
      <c r="D124" s="13">
        <v>326.75</v>
      </c>
      <c r="E124" s="13">
        <v>706.64</v>
      </c>
      <c r="F124" s="3">
        <v>10</v>
      </c>
      <c r="G124" s="3">
        <v>25</v>
      </c>
      <c r="H124" s="3" t="s">
        <v>357</v>
      </c>
    </row>
    <row r="125" spans="1:8">
      <c r="A125" s="3" t="s">
        <v>358</v>
      </c>
      <c r="B125" s="3" t="s">
        <v>359</v>
      </c>
      <c r="C125" s="3" t="s">
        <v>316</v>
      </c>
      <c r="D125" s="13">
        <v>653.35</v>
      </c>
      <c r="E125" s="13">
        <v>1375.53</v>
      </c>
      <c r="F125" s="3">
        <v>7</v>
      </c>
      <c r="G125" s="3">
        <v>100</v>
      </c>
      <c r="H125" s="3" t="s">
        <v>360</v>
      </c>
    </row>
    <row r="126" spans="1:8">
      <c r="A126" s="3" t="s">
        <v>361</v>
      </c>
      <c r="B126" s="3" t="s">
        <v>362</v>
      </c>
      <c r="C126" s="3" t="s">
        <v>316</v>
      </c>
      <c r="D126" s="13">
        <v>426.11</v>
      </c>
      <c r="E126" s="13">
        <v>918.33</v>
      </c>
      <c r="F126" s="3">
        <v>7</v>
      </c>
      <c r="G126" s="3">
        <v>20</v>
      </c>
      <c r="H126" s="3" t="s">
        <v>363</v>
      </c>
    </row>
    <row r="127" spans="1:8">
      <c r="A127" s="3" t="s">
        <v>364</v>
      </c>
      <c r="B127" s="3" t="s">
        <v>365</v>
      </c>
      <c r="C127" s="3" t="s">
        <v>316</v>
      </c>
      <c r="D127" s="13">
        <v>1146.55</v>
      </c>
      <c r="E127" s="13">
        <v>2316.08</v>
      </c>
      <c r="F127" s="3">
        <v>2</v>
      </c>
      <c r="G127" s="3">
        <v>10</v>
      </c>
      <c r="H127" s="3" t="s">
        <v>366</v>
      </c>
    </row>
    <row r="128" spans="1:8">
      <c r="A128" s="3" t="s">
        <v>367</v>
      </c>
      <c r="B128" s="3" t="s">
        <v>368</v>
      </c>
      <c r="C128" s="3" t="s">
        <v>316</v>
      </c>
      <c r="D128" s="13">
        <v>237.21</v>
      </c>
      <c r="E128" s="13">
        <v>464.58</v>
      </c>
      <c r="F128" s="3">
        <v>10</v>
      </c>
      <c r="G128" s="3">
        <v>50</v>
      </c>
      <c r="H128" s="3" t="s">
        <v>287</v>
      </c>
    </row>
    <row r="129" spans="1:8">
      <c r="A129" s="3" t="s">
        <v>369</v>
      </c>
      <c r="B129" s="3" t="s">
        <v>370</v>
      </c>
      <c r="C129" s="3" t="s">
        <v>316</v>
      </c>
      <c r="D129" s="13">
        <v>765.79</v>
      </c>
      <c r="E129" s="13">
        <v>1538.27</v>
      </c>
      <c r="F129" s="3">
        <v>3</v>
      </c>
      <c r="G129" s="3">
        <v>100</v>
      </c>
      <c r="H129" s="3" t="s">
        <v>371</v>
      </c>
    </row>
    <row r="130" spans="1:8">
      <c r="A130" s="3" t="s">
        <v>372</v>
      </c>
      <c r="B130" s="3" t="s">
        <v>373</v>
      </c>
      <c r="C130" s="3" t="s">
        <v>316</v>
      </c>
      <c r="D130" s="13">
        <v>97.02</v>
      </c>
      <c r="E130" s="13">
        <v>195.61</v>
      </c>
      <c r="F130" s="3">
        <v>7</v>
      </c>
      <c r="G130" s="3">
        <v>100</v>
      </c>
      <c r="H130" s="3" t="s">
        <v>374</v>
      </c>
    </row>
    <row r="131" spans="1:8">
      <c r="A131" s="3" t="s">
        <v>375</v>
      </c>
      <c r="B131" s="3" t="s">
        <v>376</v>
      </c>
      <c r="C131" s="3" t="s">
        <v>316</v>
      </c>
      <c r="D131" s="13">
        <v>507.77</v>
      </c>
      <c r="E131" s="13">
        <v>978.21</v>
      </c>
      <c r="F131" s="3">
        <v>5</v>
      </c>
      <c r="G131" s="3">
        <v>25</v>
      </c>
      <c r="H131" s="3" t="s">
        <v>268</v>
      </c>
    </row>
    <row r="132" spans="1:8">
      <c r="A132" s="3" t="s">
        <v>377</v>
      </c>
      <c r="B132" s="3" t="s">
        <v>378</v>
      </c>
      <c r="C132" s="3" t="s">
        <v>379</v>
      </c>
      <c r="D132" s="13">
        <v>452.89</v>
      </c>
      <c r="E132" s="13">
        <v>663.72</v>
      </c>
      <c r="F132" s="3">
        <v>4</v>
      </c>
      <c r="G132" s="3">
        <v>50</v>
      </c>
      <c r="H132" s="3" t="s">
        <v>371</v>
      </c>
    </row>
    <row r="133" spans="1:8">
      <c r="A133" s="3" t="s">
        <v>380</v>
      </c>
      <c r="B133" s="3" t="s">
        <v>381</v>
      </c>
      <c r="C133" s="3" t="s">
        <v>379</v>
      </c>
      <c r="D133" s="13">
        <v>482.47</v>
      </c>
      <c r="E133" s="13">
        <v>671.74</v>
      </c>
      <c r="F133" s="3">
        <v>3</v>
      </c>
      <c r="G133" s="3">
        <v>100</v>
      </c>
      <c r="H133" s="3" t="s">
        <v>371</v>
      </c>
    </row>
    <row r="134" spans="1:8">
      <c r="A134" s="3" t="s">
        <v>382</v>
      </c>
      <c r="B134" s="3" t="s">
        <v>383</v>
      </c>
      <c r="C134" s="3" t="s">
        <v>379</v>
      </c>
      <c r="D134" s="13">
        <v>203.67</v>
      </c>
      <c r="E134" s="13">
        <v>283.35</v>
      </c>
      <c r="F134" s="3">
        <v>3</v>
      </c>
      <c r="G134" s="3">
        <v>50</v>
      </c>
      <c r="H134" s="3" t="s">
        <v>384</v>
      </c>
    </row>
    <row r="135" spans="1:8">
      <c r="A135" s="3" t="s">
        <v>385</v>
      </c>
      <c r="B135" s="3" t="s">
        <v>386</v>
      </c>
      <c r="C135" s="3" t="s">
        <v>379</v>
      </c>
      <c r="D135" s="13">
        <v>609.22</v>
      </c>
      <c r="E135" s="13">
        <v>913.81</v>
      </c>
      <c r="F135" s="3">
        <v>7</v>
      </c>
      <c r="G135" s="3">
        <v>20</v>
      </c>
      <c r="H135" s="3" t="s">
        <v>387</v>
      </c>
    </row>
    <row r="136" spans="1:8">
      <c r="A136" s="3" t="s">
        <v>388</v>
      </c>
      <c r="B136" s="3" t="s">
        <v>389</v>
      </c>
      <c r="C136" s="3" t="s">
        <v>379</v>
      </c>
      <c r="D136" s="13">
        <v>672.45</v>
      </c>
      <c r="E136" s="13">
        <v>976.32</v>
      </c>
      <c r="F136" s="3">
        <v>2</v>
      </c>
      <c r="G136" s="3">
        <v>25</v>
      </c>
      <c r="H136" s="3" t="s">
        <v>118</v>
      </c>
    </row>
    <row r="137" spans="1:8">
      <c r="A137" s="3" t="s">
        <v>390</v>
      </c>
      <c r="B137" s="3" t="s">
        <v>391</v>
      </c>
      <c r="C137" s="3" t="s">
        <v>379</v>
      </c>
      <c r="D137" s="13">
        <v>693.89</v>
      </c>
      <c r="E137" s="13">
        <v>938.14</v>
      </c>
      <c r="F137" s="3">
        <v>4</v>
      </c>
      <c r="G137" s="3">
        <v>20</v>
      </c>
      <c r="H137" s="3" t="s">
        <v>392</v>
      </c>
    </row>
    <row r="138" spans="1:8">
      <c r="A138" s="3" t="s">
        <v>393</v>
      </c>
      <c r="B138" s="3" t="s">
        <v>394</v>
      </c>
      <c r="C138" s="3" t="s">
        <v>379</v>
      </c>
      <c r="D138" s="13">
        <v>684.72</v>
      </c>
      <c r="E138" s="13">
        <v>916.04</v>
      </c>
      <c r="F138" s="3">
        <v>14</v>
      </c>
      <c r="G138" s="3">
        <v>25</v>
      </c>
      <c r="H138" s="3" t="s">
        <v>41</v>
      </c>
    </row>
    <row r="139" spans="1:8">
      <c r="A139" s="3" t="s">
        <v>395</v>
      </c>
      <c r="B139" s="3" t="s">
        <v>396</v>
      </c>
      <c r="C139" s="3" t="s">
        <v>379</v>
      </c>
      <c r="D139" s="13">
        <v>323.8</v>
      </c>
      <c r="E139" s="13">
        <v>482.63</v>
      </c>
      <c r="F139" s="3">
        <v>3</v>
      </c>
      <c r="G139" s="3">
        <v>25</v>
      </c>
      <c r="H139" s="3" t="s">
        <v>173</v>
      </c>
    </row>
    <row r="140" spans="1:8">
      <c r="A140" s="3" t="s">
        <v>397</v>
      </c>
      <c r="B140" s="3" t="s">
        <v>398</v>
      </c>
      <c r="C140" s="3" t="s">
        <v>379</v>
      </c>
      <c r="D140" s="13">
        <v>188.93</v>
      </c>
      <c r="E140" s="13">
        <v>256.91</v>
      </c>
      <c r="F140" s="3">
        <v>3</v>
      </c>
      <c r="G140" s="3">
        <v>50</v>
      </c>
      <c r="H140" s="3" t="s">
        <v>127</v>
      </c>
    </row>
    <row r="141" spans="1:8">
      <c r="A141" s="3" t="s">
        <v>399</v>
      </c>
      <c r="B141" s="3" t="s">
        <v>400</v>
      </c>
      <c r="C141" s="3" t="s">
        <v>379</v>
      </c>
      <c r="D141" s="13">
        <v>558.08</v>
      </c>
      <c r="E141" s="13">
        <v>846.22</v>
      </c>
      <c r="F141" s="3">
        <v>2</v>
      </c>
      <c r="G141" s="3">
        <v>10</v>
      </c>
      <c r="H141" s="3" t="s">
        <v>360</v>
      </c>
    </row>
    <row r="142" spans="1:8">
      <c r="A142" s="3" t="s">
        <v>401</v>
      </c>
      <c r="B142" s="3" t="s">
        <v>402</v>
      </c>
      <c r="C142" s="3" t="s">
        <v>379</v>
      </c>
      <c r="D142" s="13">
        <v>321.5</v>
      </c>
      <c r="E142" s="13">
        <v>450.66</v>
      </c>
      <c r="F142" s="3">
        <v>14</v>
      </c>
      <c r="G142" s="3">
        <v>50</v>
      </c>
      <c r="H142" s="3" t="s">
        <v>150</v>
      </c>
    </row>
    <row r="143" spans="1:8">
      <c r="A143" s="3" t="s">
        <v>403</v>
      </c>
      <c r="B143" s="3" t="s">
        <v>404</v>
      </c>
      <c r="C143" s="3" t="s">
        <v>379</v>
      </c>
      <c r="D143" s="13">
        <v>227.46</v>
      </c>
      <c r="E143" s="13">
        <v>306.1</v>
      </c>
      <c r="F143" s="3">
        <v>2</v>
      </c>
      <c r="G143" s="3">
        <v>25</v>
      </c>
      <c r="H143" s="3" t="s">
        <v>115</v>
      </c>
    </row>
    <row r="144" spans="1:8">
      <c r="A144" s="3" t="s">
        <v>405</v>
      </c>
      <c r="B144" s="3" t="s">
        <v>406</v>
      </c>
      <c r="C144" s="3" t="s">
        <v>379</v>
      </c>
      <c r="D144" s="13">
        <v>502.58</v>
      </c>
      <c r="E144" s="13">
        <v>700.85</v>
      </c>
      <c r="F144" s="3">
        <v>14</v>
      </c>
      <c r="G144" s="3">
        <v>100</v>
      </c>
      <c r="H144" s="3" t="s">
        <v>79</v>
      </c>
    </row>
    <row r="145" spans="1:8">
      <c r="A145" s="3" t="s">
        <v>407</v>
      </c>
      <c r="B145" s="3" t="s">
        <v>408</v>
      </c>
      <c r="C145" s="3" t="s">
        <v>379</v>
      </c>
      <c r="D145" s="13">
        <v>244.46</v>
      </c>
      <c r="E145" s="13">
        <v>351.41</v>
      </c>
      <c r="F145" s="3">
        <v>2</v>
      </c>
      <c r="G145" s="3">
        <v>100</v>
      </c>
      <c r="H145" s="3" t="s">
        <v>241</v>
      </c>
    </row>
    <row r="146" spans="1:8">
      <c r="A146" s="3" t="s">
        <v>409</v>
      </c>
      <c r="B146" s="3" t="s">
        <v>410</v>
      </c>
      <c r="C146" s="3" t="s">
        <v>379</v>
      </c>
      <c r="D146" s="13">
        <v>572.68</v>
      </c>
      <c r="E146" s="13">
        <v>829.17</v>
      </c>
      <c r="F146" s="3">
        <v>7</v>
      </c>
      <c r="G146" s="3">
        <v>100</v>
      </c>
      <c r="H146" s="3" t="s">
        <v>411</v>
      </c>
    </row>
    <row r="147" spans="1:8">
      <c r="A147" s="3" t="s">
        <v>412</v>
      </c>
      <c r="B147" s="3" t="s">
        <v>413</v>
      </c>
      <c r="C147" s="3" t="s">
        <v>379</v>
      </c>
      <c r="D147" s="13">
        <v>92.76</v>
      </c>
      <c r="E147" s="13">
        <v>140.29</v>
      </c>
      <c r="F147" s="3">
        <v>2</v>
      </c>
      <c r="G147" s="3">
        <v>25</v>
      </c>
      <c r="H147" s="3" t="s">
        <v>124</v>
      </c>
    </row>
    <row r="148" spans="1:8">
      <c r="A148" s="3" t="s">
        <v>414</v>
      </c>
      <c r="B148" s="3" t="s">
        <v>415</v>
      </c>
      <c r="C148" s="3" t="s">
        <v>379</v>
      </c>
      <c r="D148" s="13">
        <v>508.53</v>
      </c>
      <c r="E148" s="13">
        <v>784.89</v>
      </c>
      <c r="F148" s="3">
        <v>7</v>
      </c>
      <c r="G148" s="3">
        <v>100</v>
      </c>
      <c r="H148" s="3" t="s">
        <v>124</v>
      </c>
    </row>
    <row r="149" spans="1:8">
      <c r="A149" s="3" t="s">
        <v>416</v>
      </c>
      <c r="B149" s="3" t="s">
        <v>417</v>
      </c>
      <c r="C149" s="3" t="s">
        <v>379</v>
      </c>
      <c r="D149" s="13">
        <v>585.3</v>
      </c>
      <c r="E149" s="13">
        <v>830.97</v>
      </c>
      <c r="F149" s="3">
        <v>2</v>
      </c>
      <c r="G149" s="3">
        <v>50</v>
      </c>
      <c r="H149" s="3" t="s">
        <v>146</v>
      </c>
    </row>
    <row r="150" spans="1:8">
      <c r="A150" s="3" t="s">
        <v>418</v>
      </c>
      <c r="B150" s="3" t="s">
        <v>419</v>
      </c>
      <c r="C150" s="3" t="s">
        <v>379</v>
      </c>
      <c r="D150" s="13">
        <v>384.38</v>
      </c>
      <c r="E150" s="13">
        <v>527.97</v>
      </c>
      <c r="F150" s="3">
        <v>4</v>
      </c>
      <c r="G150" s="3">
        <v>50</v>
      </c>
      <c r="H150" s="3" t="s">
        <v>173</v>
      </c>
    </row>
    <row r="151" spans="1:8">
      <c r="A151" s="3" t="s">
        <v>420</v>
      </c>
      <c r="B151" s="3" t="s">
        <v>421</v>
      </c>
      <c r="C151" s="3" t="s">
        <v>379</v>
      </c>
      <c r="D151" s="13">
        <v>105.86</v>
      </c>
      <c r="E151" s="13">
        <v>161.96</v>
      </c>
      <c r="F151" s="3">
        <v>3</v>
      </c>
      <c r="G151" s="3">
        <v>50</v>
      </c>
      <c r="H151" s="3" t="s">
        <v>82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5"/>
  <cols>
    <col min="1" max="1" width="10" customWidth="1"/>
    <col min="2" max="2" width="14" customWidth="1"/>
    <col min="3" max="3" width="16" customWidth="1"/>
    <col min="4" max="4" width="18" customWidth="1"/>
  </cols>
  <sheetData>
    <row r="1" ht="26.4" spans="1:6">
      <c r="A1" s="2" t="s">
        <v>21</v>
      </c>
      <c r="B1" s="2" t="s">
        <v>422</v>
      </c>
      <c r="C1" s="2" t="s">
        <v>423</v>
      </c>
      <c r="D1" s="2" t="s">
        <v>424</v>
      </c>
      <c r="F1" s="6" t="s">
        <v>425</v>
      </c>
    </row>
    <row r="2" spans="1:4">
      <c r="A2" s="3" t="s">
        <v>29</v>
      </c>
      <c r="B2" s="3">
        <v>90</v>
      </c>
      <c r="C2" s="3">
        <v>52.63</v>
      </c>
      <c r="D2" s="3">
        <v>24.39</v>
      </c>
    </row>
    <row r="3" spans="1:4">
      <c r="A3" s="3" t="s">
        <v>33</v>
      </c>
      <c r="B3" s="3">
        <v>90</v>
      </c>
      <c r="C3" s="3">
        <v>33.32</v>
      </c>
      <c r="D3" s="3">
        <v>16.7</v>
      </c>
    </row>
    <row r="4" spans="1:4">
      <c r="A4" s="3" t="s">
        <v>36</v>
      </c>
      <c r="B4" s="3">
        <v>90</v>
      </c>
      <c r="C4" s="3">
        <v>53.84</v>
      </c>
      <c r="D4" s="3">
        <v>27</v>
      </c>
    </row>
    <row r="5" spans="1:4">
      <c r="A5" s="3" t="s">
        <v>39</v>
      </c>
      <c r="B5" s="3">
        <v>90</v>
      </c>
      <c r="C5" s="3">
        <v>14.69</v>
      </c>
      <c r="D5" s="3">
        <v>8.05</v>
      </c>
    </row>
    <row r="6" spans="1:4">
      <c r="A6" s="3" t="s">
        <v>42</v>
      </c>
      <c r="B6" s="3">
        <v>90</v>
      </c>
      <c r="C6" s="3">
        <v>21.77</v>
      </c>
      <c r="D6" s="3">
        <v>10.92</v>
      </c>
    </row>
    <row r="7" spans="1:4">
      <c r="A7" s="3" t="s">
        <v>45</v>
      </c>
      <c r="B7" s="3">
        <v>90</v>
      </c>
      <c r="C7" s="3">
        <v>27.13</v>
      </c>
      <c r="D7" s="3">
        <v>14.8</v>
      </c>
    </row>
    <row r="8" spans="1:4">
      <c r="A8" s="3" t="s">
        <v>48</v>
      </c>
      <c r="B8" s="3">
        <v>90</v>
      </c>
      <c r="C8" s="3">
        <v>49.72</v>
      </c>
      <c r="D8" s="3">
        <v>23.57</v>
      </c>
    </row>
    <row r="9" spans="1:4">
      <c r="A9" s="3" t="s">
        <v>51</v>
      </c>
      <c r="B9" s="3">
        <v>90</v>
      </c>
      <c r="C9" s="3">
        <v>44.82</v>
      </c>
      <c r="D9" s="3">
        <v>22.42</v>
      </c>
    </row>
    <row r="10" spans="1:4">
      <c r="A10" s="3" t="s">
        <v>53</v>
      </c>
      <c r="B10" s="3">
        <v>90</v>
      </c>
      <c r="C10" s="3">
        <v>13.59</v>
      </c>
      <c r="D10" s="3">
        <v>7.63</v>
      </c>
    </row>
    <row r="11" spans="1:4">
      <c r="A11" s="3" t="s">
        <v>56</v>
      </c>
      <c r="B11" s="3">
        <v>90</v>
      </c>
      <c r="C11" s="3">
        <v>26.71</v>
      </c>
      <c r="D11" s="3">
        <v>13.2</v>
      </c>
    </row>
    <row r="12" spans="1:4">
      <c r="A12" s="3" t="s">
        <v>59</v>
      </c>
      <c r="B12" s="3">
        <v>90</v>
      </c>
      <c r="C12" s="3">
        <v>20.89</v>
      </c>
      <c r="D12" s="3">
        <v>11.88</v>
      </c>
    </row>
    <row r="13" spans="1:4">
      <c r="A13" s="3" t="s">
        <v>62</v>
      </c>
      <c r="B13" s="3">
        <v>90</v>
      </c>
      <c r="C13" s="3">
        <v>20.46</v>
      </c>
      <c r="D13" s="3">
        <v>10.62</v>
      </c>
    </row>
    <row r="14" spans="1:4">
      <c r="A14" s="3" t="s">
        <v>65</v>
      </c>
      <c r="B14" s="3">
        <v>90</v>
      </c>
      <c r="C14" s="3">
        <v>18.09</v>
      </c>
      <c r="D14" s="3">
        <v>10.04</v>
      </c>
    </row>
    <row r="15" spans="1:4">
      <c r="A15" s="3" t="s">
        <v>68</v>
      </c>
      <c r="B15" s="3">
        <v>90</v>
      </c>
      <c r="C15" s="3">
        <v>25.54</v>
      </c>
      <c r="D15" s="3">
        <v>13.62</v>
      </c>
    </row>
    <row r="16" spans="1:4">
      <c r="A16" s="3" t="s">
        <v>71</v>
      </c>
      <c r="B16" s="3">
        <v>90</v>
      </c>
      <c r="C16" s="3">
        <v>48.62</v>
      </c>
      <c r="D16" s="3">
        <v>25.34</v>
      </c>
    </row>
    <row r="17" spans="1:4">
      <c r="A17" s="3" t="s">
        <v>74</v>
      </c>
      <c r="B17" s="3">
        <v>90</v>
      </c>
      <c r="C17" s="3">
        <v>13.93</v>
      </c>
      <c r="D17" s="3">
        <v>7.74</v>
      </c>
    </row>
    <row r="18" spans="1:4">
      <c r="A18" s="3" t="s">
        <v>77</v>
      </c>
      <c r="B18" s="3">
        <v>90</v>
      </c>
      <c r="C18" s="3">
        <v>41.23</v>
      </c>
      <c r="D18" s="3">
        <v>20.96</v>
      </c>
    </row>
    <row r="19" spans="1:4">
      <c r="A19" s="3" t="s">
        <v>80</v>
      </c>
      <c r="B19" s="3">
        <v>90</v>
      </c>
      <c r="C19" s="3">
        <v>34.74</v>
      </c>
      <c r="D19" s="3">
        <v>17.81</v>
      </c>
    </row>
    <row r="20" spans="1:4">
      <c r="A20" s="3" t="s">
        <v>83</v>
      </c>
      <c r="B20" s="3">
        <v>90</v>
      </c>
      <c r="C20" s="3">
        <v>13.22</v>
      </c>
      <c r="D20" s="3">
        <v>7.7</v>
      </c>
    </row>
    <row r="21" spans="1:4">
      <c r="A21" s="3" t="s">
        <v>86</v>
      </c>
      <c r="B21" s="3">
        <v>90</v>
      </c>
      <c r="C21" s="3">
        <v>48.81</v>
      </c>
      <c r="D21" s="3">
        <v>24.94</v>
      </c>
    </row>
    <row r="22" spans="1:4">
      <c r="A22" s="3" t="s">
        <v>88</v>
      </c>
      <c r="B22" s="3">
        <v>90</v>
      </c>
      <c r="C22" s="3">
        <v>14.43</v>
      </c>
      <c r="D22" s="3">
        <v>7.64</v>
      </c>
    </row>
    <row r="23" spans="1:4">
      <c r="A23" s="3" t="s">
        <v>92</v>
      </c>
      <c r="B23" s="3">
        <v>90</v>
      </c>
      <c r="C23" s="3">
        <v>8.32</v>
      </c>
      <c r="D23" s="3">
        <v>4.83</v>
      </c>
    </row>
    <row r="24" spans="1:4">
      <c r="A24" s="3" t="s">
        <v>95</v>
      </c>
      <c r="B24" s="3">
        <v>90</v>
      </c>
      <c r="C24" s="3">
        <v>18.4</v>
      </c>
      <c r="D24" s="3">
        <v>9.41</v>
      </c>
    </row>
    <row r="25" spans="1:4">
      <c r="A25" s="3" t="s">
        <v>98</v>
      </c>
      <c r="B25" s="3">
        <v>90</v>
      </c>
      <c r="C25" s="3">
        <v>10.13</v>
      </c>
      <c r="D25" s="3">
        <v>5.89</v>
      </c>
    </row>
    <row r="26" spans="1:4">
      <c r="A26" s="3" t="s">
        <v>101</v>
      </c>
      <c r="B26" s="3">
        <v>90</v>
      </c>
      <c r="C26" s="3">
        <v>23.96</v>
      </c>
      <c r="D26" s="3">
        <v>11.95</v>
      </c>
    </row>
    <row r="27" spans="1:4">
      <c r="A27" s="3" t="s">
        <v>104</v>
      </c>
      <c r="B27" s="3">
        <v>90</v>
      </c>
      <c r="C27" s="3">
        <v>8.14</v>
      </c>
      <c r="D27" s="3">
        <v>4.72</v>
      </c>
    </row>
    <row r="28" spans="1:4">
      <c r="A28" s="3" t="s">
        <v>107</v>
      </c>
      <c r="B28" s="3">
        <v>90</v>
      </c>
      <c r="C28" s="3">
        <v>7.79</v>
      </c>
      <c r="D28" s="3">
        <v>4.54</v>
      </c>
    </row>
    <row r="29" spans="1:4">
      <c r="A29" s="3" t="s">
        <v>110</v>
      </c>
      <c r="B29" s="3">
        <v>90</v>
      </c>
      <c r="C29" s="3">
        <v>29.18</v>
      </c>
      <c r="D29" s="3">
        <v>14.96</v>
      </c>
    </row>
    <row r="30" spans="1:4">
      <c r="A30" s="3" t="s">
        <v>113</v>
      </c>
      <c r="B30" s="3">
        <v>90</v>
      </c>
      <c r="C30" s="3">
        <v>19.89</v>
      </c>
      <c r="D30" s="3">
        <v>9.36</v>
      </c>
    </row>
    <row r="31" spans="1:4">
      <c r="A31" s="3" t="s">
        <v>116</v>
      </c>
      <c r="B31" s="3">
        <v>90</v>
      </c>
      <c r="C31" s="3">
        <v>11.44</v>
      </c>
      <c r="D31" s="3">
        <v>7.03</v>
      </c>
    </row>
    <row r="32" spans="1:4">
      <c r="A32" s="3" t="s">
        <v>119</v>
      </c>
      <c r="B32" s="3">
        <v>90</v>
      </c>
      <c r="C32" s="3">
        <v>21.23</v>
      </c>
      <c r="D32" s="3">
        <v>10.95</v>
      </c>
    </row>
    <row r="33" spans="1:4">
      <c r="A33" s="3" t="s">
        <v>122</v>
      </c>
      <c r="B33" s="3">
        <v>90</v>
      </c>
      <c r="C33" s="3">
        <v>6.1</v>
      </c>
      <c r="D33" s="3">
        <v>3.98</v>
      </c>
    </row>
    <row r="34" spans="1:4">
      <c r="A34" s="3" t="s">
        <v>125</v>
      </c>
      <c r="B34" s="3">
        <v>90</v>
      </c>
      <c r="C34" s="3">
        <v>9.17</v>
      </c>
      <c r="D34" s="3">
        <v>5.34</v>
      </c>
    </row>
    <row r="35" spans="1:4">
      <c r="A35" s="3" t="s">
        <v>128</v>
      </c>
      <c r="B35" s="3">
        <v>90</v>
      </c>
      <c r="C35" s="3">
        <v>5.53</v>
      </c>
      <c r="D35" s="3">
        <v>3.14</v>
      </c>
    </row>
    <row r="36" spans="1:4">
      <c r="A36" s="3" t="s">
        <v>131</v>
      </c>
      <c r="B36" s="3">
        <v>90</v>
      </c>
      <c r="C36" s="3">
        <v>5.17</v>
      </c>
      <c r="D36" s="3">
        <v>3.4</v>
      </c>
    </row>
    <row r="37" spans="1:4">
      <c r="A37" s="3" t="s">
        <v>134</v>
      </c>
      <c r="B37" s="3">
        <v>90</v>
      </c>
      <c r="C37" s="3">
        <v>15.37</v>
      </c>
      <c r="D37" s="3">
        <v>8</v>
      </c>
    </row>
    <row r="38" spans="1:4">
      <c r="A38" s="3" t="s">
        <v>136</v>
      </c>
      <c r="B38" s="3">
        <v>90</v>
      </c>
      <c r="C38" s="3">
        <v>26.64</v>
      </c>
      <c r="D38" s="3">
        <v>12.84</v>
      </c>
    </row>
    <row r="39" spans="1:4">
      <c r="A39" s="3" t="s">
        <v>139</v>
      </c>
      <c r="B39" s="3">
        <v>90</v>
      </c>
      <c r="C39" s="3">
        <v>17.63</v>
      </c>
      <c r="D39" s="3">
        <v>9.93</v>
      </c>
    </row>
    <row r="40" spans="1:4">
      <c r="A40" s="3" t="s">
        <v>141</v>
      </c>
      <c r="B40" s="3">
        <v>90</v>
      </c>
      <c r="C40" s="3">
        <v>15.59</v>
      </c>
      <c r="D40" s="3">
        <v>8.9</v>
      </c>
    </row>
    <row r="41" spans="1:4">
      <c r="A41" s="3" t="s">
        <v>144</v>
      </c>
      <c r="B41" s="3">
        <v>90</v>
      </c>
      <c r="C41" s="3">
        <v>29.78</v>
      </c>
      <c r="D41" s="3">
        <v>14.35</v>
      </c>
    </row>
    <row r="42" spans="1:4">
      <c r="A42" s="3" t="s">
        <v>147</v>
      </c>
      <c r="B42" s="3">
        <v>90</v>
      </c>
      <c r="C42" s="3">
        <v>55.38</v>
      </c>
      <c r="D42" s="3">
        <v>29.55</v>
      </c>
    </row>
    <row r="43" spans="1:4">
      <c r="A43" s="3" t="s">
        <v>151</v>
      </c>
      <c r="B43" s="3">
        <v>90</v>
      </c>
      <c r="C43" s="3">
        <v>25.87</v>
      </c>
      <c r="D43" s="3">
        <v>13.69</v>
      </c>
    </row>
    <row r="44" spans="1:4">
      <c r="A44" s="3" t="s">
        <v>154</v>
      </c>
      <c r="B44" s="3">
        <v>90</v>
      </c>
      <c r="C44" s="3">
        <v>87.76</v>
      </c>
      <c r="D44" s="3">
        <v>40.8</v>
      </c>
    </row>
    <row r="45" spans="1:4">
      <c r="A45" s="3" t="s">
        <v>157</v>
      </c>
      <c r="B45" s="3">
        <v>90</v>
      </c>
      <c r="C45" s="3">
        <v>22.93</v>
      </c>
      <c r="D45" s="3">
        <v>12.29</v>
      </c>
    </row>
    <row r="46" spans="1:4">
      <c r="A46" s="3" t="s">
        <v>160</v>
      </c>
      <c r="B46" s="3">
        <v>90</v>
      </c>
      <c r="C46" s="3">
        <v>74.36</v>
      </c>
      <c r="D46" s="3">
        <v>34.86</v>
      </c>
    </row>
    <row r="47" spans="1:4">
      <c r="A47" s="3" t="s">
        <v>162</v>
      </c>
      <c r="B47" s="3">
        <v>90</v>
      </c>
      <c r="C47" s="3">
        <v>65.66</v>
      </c>
      <c r="D47" s="3">
        <v>33.64</v>
      </c>
    </row>
    <row r="48" spans="1:4">
      <c r="A48" s="3" t="s">
        <v>165</v>
      </c>
      <c r="B48" s="3">
        <v>90</v>
      </c>
      <c r="C48" s="3">
        <v>40.19</v>
      </c>
      <c r="D48" s="3">
        <v>18.92</v>
      </c>
    </row>
    <row r="49" spans="1:4">
      <c r="A49" s="3" t="s">
        <v>168</v>
      </c>
      <c r="B49" s="3">
        <v>90</v>
      </c>
      <c r="C49" s="3">
        <v>57.59</v>
      </c>
      <c r="D49" s="3">
        <v>28.84</v>
      </c>
    </row>
    <row r="50" spans="1:4">
      <c r="A50" s="3" t="s">
        <v>171</v>
      </c>
      <c r="B50" s="3">
        <v>90</v>
      </c>
      <c r="C50" s="3">
        <v>80.22</v>
      </c>
      <c r="D50" s="3">
        <v>39.38</v>
      </c>
    </row>
    <row r="51" spans="1:4">
      <c r="A51" s="3" t="s">
        <v>174</v>
      </c>
      <c r="B51" s="3">
        <v>90</v>
      </c>
      <c r="C51" s="3">
        <v>79.48</v>
      </c>
      <c r="D51" s="3">
        <v>37.36</v>
      </c>
    </row>
    <row r="52" spans="1:4">
      <c r="A52" s="3" t="s">
        <v>176</v>
      </c>
      <c r="B52" s="3">
        <v>90</v>
      </c>
      <c r="C52" s="3">
        <v>91.49</v>
      </c>
      <c r="D52" s="3">
        <v>43.35</v>
      </c>
    </row>
    <row r="53" spans="1:4">
      <c r="A53" s="3" t="s">
        <v>179</v>
      </c>
      <c r="B53" s="3">
        <v>90</v>
      </c>
      <c r="C53" s="3">
        <v>66</v>
      </c>
      <c r="D53" s="3">
        <v>31.35</v>
      </c>
    </row>
    <row r="54" spans="1:4">
      <c r="A54" s="3" t="s">
        <v>182</v>
      </c>
      <c r="B54" s="3">
        <v>90</v>
      </c>
      <c r="C54" s="3">
        <v>66.68</v>
      </c>
      <c r="D54" s="3">
        <v>34.04</v>
      </c>
    </row>
    <row r="55" spans="1:4">
      <c r="A55" s="3" t="s">
        <v>184</v>
      </c>
      <c r="B55" s="3">
        <v>90</v>
      </c>
      <c r="C55" s="3">
        <v>79.5</v>
      </c>
      <c r="D55" s="3">
        <v>39.66</v>
      </c>
    </row>
    <row r="56" spans="1:4">
      <c r="A56" s="3" t="s">
        <v>187</v>
      </c>
      <c r="B56" s="3">
        <v>90</v>
      </c>
      <c r="C56" s="3">
        <v>24.37</v>
      </c>
      <c r="D56" s="3">
        <v>12.89</v>
      </c>
    </row>
    <row r="57" spans="1:4">
      <c r="A57" s="3" t="s">
        <v>190</v>
      </c>
      <c r="B57" s="3">
        <v>90</v>
      </c>
      <c r="C57" s="3">
        <v>34.9</v>
      </c>
      <c r="D57" s="3">
        <v>18.17</v>
      </c>
    </row>
    <row r="58" spans="1:4">
      <c r="A58" s="3" t="s">
        <v>193</v>
      </c>
      <c r="B58" s="3">
        <v>90</v>
      </c>
      <c r="C58" s="3">
        <v>29.31</v>
      </c>
      <c r="D58" s="3">
        <v>14.98</v>
      </c>
    </row>
    <row r="59" spans="1:4">
      <c r="A59" s="3" t="s">
        <v>196</v>
      </c>
      <c r="B59" s="3">
        <v>90</v>
      </c>
      <c r="C59" s="3">
        <v>60.13</v>
      </c>
      <c r="D59" s="3">
        <v>29.28</v>
      </c>
    </row>
    <row r="60" spans="1:4">
      <c r="A60" s="3" t="s">
        <v>199</v>
      </c>
      <c r="B60" s="3">
        <v>90</v>
      </c>
      <c r="C60" s="3">
        <v>53.89</v>
      </c>
      <c r="D60" s="3">
        <v>26.38</v>
      </c>
    </row>
    <row r="61" spans="1:4">
      <c r="A61" s="3" t="s">
        <v>202</v>
      </c>
      <c r="B61" s="3">
        <v>90</v>
      </c>
      <c r="C61" s="3">
        <v>62.51</v>
      </c>
      <c r="D61" s="3">
        <v>29.55</v>
      </c>
    </row>
    <row r="62" spans="1:4">
      <c r="A62" s="3" t="s">
        <v>204</v>
      </c>
      <c r="B62" s="3">
        <v>90</v>
      </c>
      <c r="C62" s="3">
        <v>47.24</v>
      </c>
      <c r="D62" s="3">
        <v>22.79</v>
      </c>
    </row>
    <row r="63" spans="1:4">
      <c r="A63" s="3" t="s">
        <v>206</v>
      </c>
      <c r="B63" s="3">
        <v>90</v>
      </c>
      <c r="C63" s="3">
        <v>66.57</v>
      </c>
      <c r="D63" s="3">
        <v>31</v>
      </c>
    </row>
    <row r="64" spans="1:4">
      <c r="A64" s="3" t="s">
        <v>208</v>
      </c>
      <c r="B64" s="3">
        <v>90</v>
      </c>
      <c r="C64" s="3">
        <v>82.64</v>
      </c>
      <c r="D64" s="3">
        <v>39.92</v>
      </c>
    </row>
    <row r="65" spans="1:4">
      <c r="A65" s="3" t="s">
        <v>210</v>
      </c>
      <c r="B65" s="3">
        <v>90</v>
      </c>
      <c r="C65" s="3">
        <v>24.68</v>
      </c>
      <c r="D65" s="3">
        <v>13.98</v>
      </c>
    </row>
    <row r="66" spans="1:4">
      <c r="A66" s="3" t="s">
        <v>213</v>
      </c>
      <c r="B66" s="3">
        <v>90</v>
      </c>
      <c r="C66" s="3">
        <v>15.86</v>
      </c>
      <c r="D66" s="3">
        <v>8.82</v>
      </c>
    </row>
    <row r="67" spans="1:4">
      <c r="A67" s="3" t="s">
        <v>216</v>
      </c>
      <c r="B67" s="3">
        <v>90</v>
      </c>
      <c r="C67" s="3">
        <v>89.69</v>
      </c>
      <c r="D67" s="3">
        <v>44</v>
      </c>
    </row>
    <row r="68" spans="1:4">
      <c r="A68" s="3" t="s">
        <v>219</v>
      </c>
      <c r="B68" s="3">
        <v>90</v>
      </c>
      <c r="C68" s="3">
        <v>31.16</v>
      </c>
      <c r="D68" s="3">
        <v>15.14</v>
      </c>
    </row>
    <row r="69" spans="1:4">
      <c r="A69" s="3" t="s">
        <v>222</v>
      </c>
      <c r="B69" s="3">
        <v>90</v>
      </c>
      <c r="C69" s="3">
        <v>80.67</v>
      </c>
      <c r="D69" s="3">
        <v>40.4</v>
      </c>
    </row>
    <row r="70" spans="1:4">
      <c r="A70" s="3" t="s">
        <v>224</v>
      </c>
      <c r="B70" s="3">
        <v>90</v>
      </c>
      <c r="C70" s="3">
        <v>48.3</v>
      </c>
      <c r="D70" s="3">
        <v>24.15</v>
      </c>
    </row>
    <row r="71" spans="1:4">
      <c r="A71" s="3" t="s">
        <v>226</v>
      </c>
      <c r="B71" s="3">
        <v>90</v>
      </c>
      <c r="C71" s="3">
        <v>36.34</v>
      </c>
      <c r="D71" s="3">
        <v>18.72</v>
      </c>
    </row>
    <row r="72" spans="1:4">
      <c r="A72" s="3" t="s">
        <v>229</v>
      </c>
      <c r="B72" s="3">
        <v>90</v>
      </c>
      <c r="C72" s="3">
        <v>63.92</v>
      </c>
      <c r="D72" s="3">
        <v>28.65</v>
      </c>
    </row>
    <row r="73" spans="1:4">
      <c r="A73" s="3" t="s">
        <v>231</v>
      </c>
      <c r="B73" s="3">
        <v>90</v>
      </c>
      <c r="C73" s="3">
        <v>72.54</v>
      </c>
      <c r="D73" s="3">
        <v>35.13</v>
      </c>
    </row>
    <row r="74" spans="1:4">
      <c r="A74" s="3" t="s">
        <v>234</v>
      </c>
      <c r="B74" s="3">
        <v>90</v>
      </c>
      <c r="C74" s="3">
        <v>53.91</v>
      </c>
      <c r="D74" s="3">
        <v>27.04</v>
      </c>
    </row>
    <row r="75" spans="1:4">
      <c r="A75" s="3" t="s">
        <v>236</v>
      </c>
      <c r="B75" s="3">
        <v>90</v>
      </c>
      <c r="C75" s="3">
        <v>16.94</v>
      </c>
      <c r="D75" s="3">
        <v>9.08</v>
      </c>
    </row>
    <row r="76" spans="1:4">
      <c r="A76" s="3" t="s">
        <v>239</v>
      </c>
      <c r="B76" s="3">
        <v>90</v>
      </c>
      <c r="C76" s="3">
        <v>63.21</v>
      </c>
      <c r="D76" s="3">
        <v>33.13</v>
      </c>
    </row>
    <row r="77" spans="1:4">
      <c r="A77" s="3" t="s">
        <v>242</v>
      </c>
      <c r="B77" s="3">
        <v>90</v>
      </c>
      <c r="C77" s="3">
        <v>44.48</v>
      </c>
      <c r="D77" s="3">
        <v>20.99</v>
      </c>
    </row>
    <row r="78" spans="1:4">
      <c r="A78" s="3" t="s">
        <v>245</v>
      </c>
      <c r="B78" s="3">
        <v>90</v>
      </c>
      <c r="C78" s="3">
        <v>52.79</v>
      </c>
      <c r="D78" s="3">
        <v>27.69</v>
      </c>
    </row>
    <row r="79" spans="1:4">
      <c r="A79" s="3" t="s">
        <v>247</v>
      </c>
      <c r="B79" s="3">
        <v>90</v>
      </c>
      <c r="C79" s="3">
        <v>9.3</v>
      </c>
      <c r="D79" s="3">
        <v>5.24</v>
      </c>
    </row>
    <row r="80" spans="1:4">
      <c r="A80" s="3" t="s">
        <v>249</v>
      </c>
      <c r="B80" s="3">
        <v>90</v>
      </c>
      <c r="C80" s="3">
        <v>11.36</v>
      </c>
      <c r="D80" s="3">
        <v>6.45</v>
      </c>
    </row>
    <row r="81" spans="1:4">
      <c r="A81" s="3" t="s">
        <v>251</v>
      </c>
      <c r="B81" s="3">
        <v>90</v>
      </c>
      <c r="C81" s="3">
        <v>37.84</v>
      </c>
      <c r="D81" s="3">
        <v>18.71</v>
      </c>
    </row>
    <row r="82" spans="1:4">
      <c r="A82" s="3" t="s">
        <v>254</v>
      </c>
      <c r="B82" s="3">
        <v>90</v>
      </c>
      <c r="C82" s="3">
        <v>47.1</v>
      </c>
      <c r="D82" s="3">
        <v>25.79</v>
      </c>
    </row>
    <row r="83" spans="1:4">
      <c r="A83" s="3" t="s">
        <v>256</v>
      </c>
      <c r="B83" s="3">
        <v>90</v>
      </c>
      <c r="C83" s="3">
        <v>18.14</v>
      </c>
      <c r="D83" s="3">
        <v>8.52</v>
      </c>
    </row>
    <row r="84" spans="1:4">
      <c r="A84" s="3" t="s">
        <v>258</v>
      </c>
      <c r="B84" s="3">
        <v>90</v>
      </c>
      <c r="C84" s="3">
        <v>47.84</v>
      </c>
      <c r="D84" s="3">
        <v>25.47</v>
      </c>
    </row>
    <row r="85" spans="1:4">
      <c r="A85" s="3" t="s">
        <v>260</v>
      </c>
      <c r="B85" s="3">
        <v>90</v>
      </c>
      <c r="C85" s="3">
        <v>20.97</v>
      </c>
      <c r="D85" s="3">
        <v>10.36</v>
      </c>
    </row>
    <row r="86" spans="1:4">
      <c r="A86" s="3" t="s">
        <v>262</v>
      </c>
      <c r="B86" s="3">
        <v>90</v>
      </c>
      <c r="C86" s="3">
        <v>25.36</v>
      </c>
      <c r="D86" s="3">
        <v>14.14</v>
      </c>
    </row>
    <row r="87" spans="1:4">
      <c r="A87" s="3" t="s">
        <v>264</v>
      </c>
      <c r="B87" s="3">
        <v>90</v>
      </c>
      <c r="C87" s="3">
        <v>28.54</v>
      </c>
      <c r="D87" s="3">
        <v>15.17</v>
      </c>
    </row>
    <row r="88" spans="1:4">
      <c r="A88" s="3" t="s">
        <v>266</v>
      </c>
      <c r="B88" s="3">
        <v>90</v>
      </c>
      <c r="C88" s="3">
        <v>48.13</v>
      </c>
      <c r="D88" s="3">
        <v>24.06</v>
      </c>
    </row>
    <row r="89" spans="1:4">
      <c r="A89" s="3" t="s">
        <v>269</v>
      </c>
      <c r="B89" s="3">
        <v>90</v>
      </c>
      <c r="C89" s="3">
        <v>20.76</v>
      </c>
      <c r="D89" s="3">
        <v>9.3</v>
      </c>
    </row>
    <row r="90" spans="1:4">
      <c r="A90" s="3" t="s">
        <v>272</v>
      </c>
      <c r="B90" s="3">
        <v>90</v>
      </c>
      <c r="C90" s="3">
        <v>42.99</v>
      </c>
      <c r="D90" s="3">
        <v>19.15</v>
      </c>
    </row>
    <row r="91" spans="1:4">
      <c r="A91" s="3" t="s">
        <v>275</v>
      </c>
      <c r="B91" s="3">
        <v>90</v>
      </c>
      <c r="C91" s="3">
        <v>16.71</v>
      </c>
      <c r="D91" s="3">
        <v>9.2</v>
      </c>
    </row>
    <row r="92" spans="1:4">
      <c r="A92" s="3" t="s">
        <v>278</v>
      </c>
      <c r="B92" s="3">
        <v>90</v>
      </c>
      <c r="C92" s="3">
        <v>9.07</v>
      </c>
      <c r="D92" s="3">
        <v>5.42</v>
      </c>
    </row>
    <row r="93" spans="1:4">
      <c r="A93" s="3" t="s">
        <v>280</v>
      </c>
      <c r="B93" s="3">
        <v>90</v>
      </c>
      <c r="C93" s="3">
        <v>31.03</v>
      </c>
      <c r="D93" s="3">
        <v>17.03</v>
      </c>
    </row>
    <row r="94" spans="1:4">
      <c r="A94" s="3" t="s">
        <v>282</v>
      </c>
      <c r="B94" s="3">
        <v>90</v>
      </c>
      <c r="C94" s="3">
        <v>16.8</v>
      </c>
      <c r="D94" s="3">
        <v>9.71</v>
      </c>
    </row>
    <row r="95" spans="1:4">
      <c r="A95" s="3" t="s">
        <v>285</v>
      </c>
      <c r="B95" s="3">
        <v>90</v>
      </c>
      <c r="C95" s="3">
        <v>31.17</v>
      </c>
      <c r="D95" s="3">
        <v>15.88</v>
      </c>
    </row>
    <row r="96" spans="1:4">
      <c r="A96" s="3" t="s">
        <v>288</v>
      </c>
      <c r="B96" s="3">
        <v>90</v>
      </c>
      <c r="C96" s="3">
        <v>18.82</v>
      </c>
      <c r="D96" s="3">
        <v>8.93</v>
      </c>
    </row>
    <row r="97" spans="1:4">
      <c r="A97" s="3" t="s">
        <v>290</v>
      </c>
      <c r="B97" s="3">
        <v>90</v>
      </c>
      <c r="C97" s="3">
        <v>39.79</v>
      </c>
      <c r="D97" s="3">
        <v>20.89</v>
      </c>
    </row>
    <row r="98" spans="1:4">
      <c r="A98" s="3" t="s">
        <v>292</v>
      </c>
      <c r="B98" s="3">
        <v>90</v>
      </c>
      <c r="C98" s="3">
        <v>9.21</v>
      </c>
      <c r="D98" s="3">
        <v>4.88</v>
      </c>
    </row>
    <row r="99" spans="1:4">
      <c r="A99" s="3" t="s">
        <v>294</v>
      </c>
      <c r="B99" s="3">
        <v>90</v>
      </c>
      <c r="C99" s="3">
        <v>47.18</v>
      </c>
      <c r="D99" s="3">
        <v>23.69</v>
      </c>
    </row>
    <row r="100" spans="1:4">
      <c r="A100" s="3" t="s">
        <v>296</v>
      </c>
      <c r="B100" s="3">
        <v>90</v>
      </c>
      <c r="C100" s="3">
        <v>28.13</v>
      </c>
      <c r="D100" s="3">
        <v>13.54</v>
      </c>
    </row>
    <row r="101" spans="1:4">
      <c r="A101" s="3" t="s">
        <v>298</v>
      </c>
      <c r="B101" s="3">
        <v>90</v>
      </c>
      <c r="C101" s="3">
        <v>27.21</v>
      </c>
      <c r="D101" s="3">
        <v>13.58</v>
      </c>
    </row>
    <row r="102" spans="1:4">
      <c r="A102" s="3" t="s">
        <v>300</v>
      </c>
      <c r="B102" s="3">
        <v>90</v>
      </c>
      <c r="C102" s="3">
        <v>40.53</v>
      </c>
      <c r="D102" s="3">
        <v>21.03</v>
      </c>
    </row>
    <row r="103" spans="1:4">
      <c r="A103" s="3" t="s">
        <v>303</v>
      </c>
      <c r="B103" s="3">
        <v>90</v>
      </c>
      <c r="C103" s="3">
        <v>40.69</v>
      </c>
      <c r="D103" s="3">
        <v>19.51</v>
      </c>
    </row>
    <row r="104" spans="1:4">
      <c r="A104" s="3" t="s">
        <v>306</v>
      </c>
      <c r="B104" s="3">
        <v>90</v>
      </c>
      <c r="C104" s="3">
        <v>13.04</v>
      </c>
      <c r="D104" s="3">
        <v>6.61</v>
      </c>
    </row>
    <row r="105" spans="1:4">
      <c r="A105" s="3" t="s">
        <v>309</v>
      </c>
      <c r="B105" s="3">
        <v>90</v>
      </c>
      <c r="C105" s="3">
        <v>38.74</v>
      </c>
      <c r="D105" s="3">
        <v>19.15</v>
      </c>
    </row>
    <row r="106" spans="1:4">
      <c r="A106" s="3" t="s">
        <v>311</v>
      </c>
      <c r="B106" s="3">
        <v>90</v>
      </c>
      <c r="C106" s="3">
        <v>34.69</v>
      </c>
      <c r="D106" s="3">
        <v>17.79</v>
      </c>
    </row>
    <row r="107" spans="1:4">
      <c r="A107" s="3" t="s">
        <v>314</v>
      </c>
      <c r="B107" s="3">
        <v>90</v>
      </c>
      <c r="C107" s="3">
        <v>40.51</v>
      </c>
      <c r="D107" s="3">
        <v>19.87</v>
      </c>
    </row>
    <row r="108" spans="1:4">
      <c r="A108" s="3" t="s">
        <v>317</v>
      </c>
      <c r="B108" s="3">
        <v>90</v>
      </c>
      <c r="C108" s="3">
        <v>68.93</v>
      </c>
      <c r="D108" s="3">
        <v>34.13</v>
      </c>
    </row>
    <row r="109" spans="1:4">
      <c r="A109" s="3" t="s">
        <v>320</v>
      </c>
      <c r="B109" s="3">
        <v>90</v>
      </c>
      <c r="C109" s="3">
        <v>72.62</v>
      </c>
      <c r="D109" s="3">
        <v>35.99</v>
      </c>
    </row>
    <row r="110" spans="1:4">
      <c r="A110" s="3" t="s">
        <v>322</v>
      </c>
      <c r="B110" s="3">
        <v>90</v>
      </c>
      <c r="C110" s="3">
        <v>59.59</v>
      </c>
      <c r="D110" s="3">
        <v>30.32</v>
      </c>
    </row>
    <row r="111" spans="1:4">
      <c r="A111" s="3" t="s">
        <v>324</v>
      </c>
      <c r="B111" s="3">
        <v>90</v>
      </c>
      <c r="C111" s="3">
        <v>26.9</v>
      </c>
      <c r="D111" s="3">
        <v>13.82</v>
      </c>
    </row>
    <row r="112" spans="1:4">
      <c r="A112" s="3" t="s">
        <v>326</v>
      </c>
      <c r="B112" s="3">
        <v>90</v>
      </c>
      <c r="C112" s="3">
        <v>38.98</v>
      </c>
      <c r="D112" s="3">
        <v>17.96</v>
      </c>
    </row>
    <row r="113" spans="1:4">
      <c r="A113" s="3" t="s">
        <v>328</v>
      </c>
      <c r="B113" s="3">
        <v>90</v>
      </c>
      <c r="C113" s="3">
        <v>27.21</v>
      </c>
      <c r="D113" s="3">
        <v>14.07</v>
      </c>
    </row>
    <row r="114" spans="1:4">
      <c r="A114" s="3" t="s">
        <v>331</v>
      </c>
      <c r="B114" s="3">
        <v>90</v>
      </c>
      <c r="C114" s="3">
        <v>30.46</v>
      </c>
      <c r="D114" s="3">
        <v>13.62</v>
      </c>
    </row>
    <row r="115" spans="1:4">
      <c r="A115" s="3" t="s">
        <v>334</v>
      </c>
      <c r="B115" s="3">
        <v>90</v>
      </c>
      <c r="C115" s="3">
        <v>31.79</v>
      </c>
      <c r="D115" s="3">
        <v>15.45</v>
      </c>
    </row>
    <row r="116" spans="1:4">
      <c r="A116" s="3" t="s">
        <v>337</v>
      </c>
      <c r="B116" s="3">
        <v>90</v>
      </c>
      <c r="C116" s="3">
        <v>33.44</v>
      </c>
      <c r="D116" s="3">
        <v>17.03</v>
      </c>
    </row>
    <row r="117" spans="1:4">
      <c r="A117" s="3" t="s">
        <v>339</v>
      </c>
      <c r="B117" s="3">
        <v>90</v>
      </c>
      <c r="C117" s="3">
        <v>33.4</v>
      </c>
      <c r="D117" s="3">
        <v>17.29</v>
      </c>
    </row>
    <row r="118" spans="1:4">
      <c r="A118" s="3" t="s">
        <v>341</v>
      </c>
      <c r="B118" s="3">
        <v>90</v>
      </c>
      <c r="C118" s="3">
        <v>30.06</v>
      </c>
      <c r="D118" s="3">
        <v>15.46</v>
      </c>
    </row>
    <row r="119" spans="1:4">
      <c r="A119" s="3" t="s">
        <v>344</v>
      </c>
      <c r="B119" s="3">
        <v>90</v>
      </c>
      <c r="C119" s="3">
        <v>61.43</v>
      </c>
      <c r="D119" s="3">
        <v>29.82</v>
      </c>
    </row>
    <row r="120" spans="1:4">
      <c r="A120" s="3" t="s">
        <v>347</v>
      </c>
      <c r="B120" s="3">
        <v>90</v>
      </c>
      <c r="C120" s="3">
        <v>40.84</v>
      </c>
      <c r="D120" s="3">
        <v>20.33</v>
      </c>
    </row>
    <row r="121" spans="1:4">
      <c r="A121" s="3" t="s">
        <v>349</v>
      </c>
      <c r="B121" s="3">
        <v>90</v>
      </c>
      <c r="C121" s="3">
        <v>47.6</v>
      </c>
      <c r="D121" s="3">
        <v>23.12</v>
      </c>
    </row>
    <row r="122" spans="1:4">
      <c r="A122" s="3" t="s">
        <v>351</v>
      </c>
      <c r="B122" s="3">
        <v>90</v>
      </c>
      <c r="C122" s="3">
        <v>47.53</v>
      </c>
      <c r="D122" s="3">
        <v>23.09</v>
      </c>
    </row>
    <row r="123" spans="1:4">
      <c r="A123" s="3" t="s">
        <v>353</v>
      </c>
      <c r="B123" s="3">
        <v>90</v>
      </c>
      <c r="C123" s="3">
        <v>44.1</v>
      </c>
      <c r="D123" s="3">
        <v>23.01</v>
      </c>
    </row>
    <row r="124" spans="1:4">
      <c r="A124" s="3" t="s">
        <v>355</v>
      </c>
      <c r="B124" s="3">
        <v>90</v>
      </c>
      <c r="C124" s="3">
        <v>23.03</v>
      </c>
      <c r="D124" s="3">
        <v>10.27</v>
      </c>
    </row>
    <row r="125" spans="1:4">
      <c r="A125" s="3" t="s">
        <v>358</v>
      </c>
      <c r="B125" s="3">
        <v>90</v>
      </c>
      <c r="C125" s="3">
        <v>76.03</v>
      </c>
      <c r="D125" s="3">
        <v>37.42</v>
      </c>
    </row>
    <row r="126" spans="1:4">
      <c r="A126" s="3" t="s">
        <v>361</v>
      </c>
      <c r="B126" s="3">
        <v>90</v>
      </c>
      <c r="C126" s="3">
        <v>35.89</v>
      </c>
      <c r="D126" s="3">
        <v>17.68</v>
      </c>
    </row>
    <row r="127" spans="1:4">
      <c r="A127" s="3" t="s">
        <v>364</v>
      </c>
      <c r="B127" s="3">
        <v>90</v>
      </c>
      <c r="C127" s="3">
        <v>54.71</v>
      </c>
      <c r="D127" s="3">
        <v>27.09</v>
      </c>
    </row>
    <row r="128" spans="1:4">
      <c r="A128" s="3" t="s">
        <v>367</v>
      </c>
      <c r="B128" s="3">
        <v>90</v>
      </c>
      <c r="C128" s="3">
        <v>38.29</v>
      </c>
      <c r="D128" s="3">
        <v>19.1</v>
      </c>
    </row>
    <row r="129" spans="1:4">
      <c r="A129" s="3" t="s">
        <v>369</v>
      </c>
      <c r="B129" s="3">
        <v>90</v>
      </c>
      <c r="C129" s="3">
        <v>73.44</v>
      </c>
      <c r="D129" s="3">
        <v>36.35</v>
      </c>
    </row>
    <row r="130" spans="1:4">
      <c r="A130" s="3" t="s">
        <v>372</v>
      </c>
      <c r="B130" s="3">
        <v>90</v>
      </c>
      <c r="C130" s="3">
        <v>69.5</v>
      </c>
      <c r="D130" s="3">
        <v>33.67</v>
      </c>
    </row>
    <row r="131" spans="1:4">
      <c r="A131" s="3" t="s">
        <v>375</v>
      </c>
      <c r="B131" s="3">
        <v>90</v>
      </c>
      <c r="C131" s="3">
        <v>40.08</v>
      </c>
      <c r="D131" s="3">
        <v>21.47</v>
      </c>
    </row>
    <row r="132" spans="1:4">
      <c r="A132" s="3" t="s">
        <v>377</v>
      </c>
      <c r="B132" s="3">
        <v>90</v>
      </c>
      <c r="C132" s="3">
        <v>75.18</v>
      </c>
      <c r="D132" s="3">
        <v>37.73</v>
      </c>
    </row>
    <row r="133" spans="1:4">
      <c r="A133" s="3" t="s">
        <v>380</v>
      </c>
      <c r="B133" s="3">
        <v>90</v>
      </c>
      <c r="C133" s="3">
        <v>33.3</v>
      </c>
      <c r="D133" s="3">
        <v>17.62</v>
      </c>
    </row>
    <row r="134" spans="1:4">
      <c r="A134" s="3" t="s">
        <v>382</v>
      </c>
      <c r="B134" s="3">
        <v>90</v>
      </c>
      <c r="C134" s="3">
        <v>44.31</v>
      </c>
      <c r="D134" s="3">
        <v>21.9</v>
      </c>
    </row>
    <row r="135" spans="1:4">
      <c r="A135" s="3" t="s">
        <v>385</v>
      </c>
      <c r="B135" s="3">
        <v>90</v>
      </c>
      <c r="C135" s="3">
        <v>88.36</v>
      </c>
      <c r="D135" s="3">
        <v>41.4</v>
      </c>
    </row>
    <row r="136" spans="1:4">
      <c r="A136" s="3" t="s">
        <v>388</v>
      </c>
      <c r="B136" s="3">
        <v>90</v>
      </c>
      <c r="C136" s="3">
        <v>105.92</v>
      </c>
      <c r="D136" s="3">
        <v>49.08</v>
      </c>
    </row>
    <row r="137" spans="1:4">
      <c r="A137" s="3" t="s">
        <v>390</v>
      </c>
      <c r="B137" s="3">
        <v>90</v>
      </c>
      <c r="C137" s="3">
        <v>65.47</v>
      </c>
      <c r="D137" s="3">
        <v>33.38</v>
      </c>
    </row>
    <row r="138" spans="1:4">
      <c r="A138" s="3" t="s">
        <v>393</v>
      </c>
      <c r="B138" s="3">
        <v>90</v>
      </c>
      <c r="C138" s="3">
        <v>121.74</v>
      </c>
      <c r="D138" s="3">
        <v>60.64</v>
      </c>
    </row>
    <row r="139" spans="1:4">
      <c r="A139" s="3" t="s">
        <v>395</v>
      </c>
      <c r="B139" s="3">
        <v>90</v>
      </c>
      <c r="C139" s="3">
        <v>100.5</v>
      </c>
      <c r="D139" s="3">
        <v>48.12</v>
      </c>
    </row>
    <row r="140" spans="1:4">
      <c r="A140" s="3" t="s">
        <v>397</v>
      </c>
      <c r="B140" s="3">
        <v>90</v>
      </c>
      <c r="C140" s="3">
        <v>122.42</v>
      </c>
      <c r="D140" s="3">
        <v>58.32</v>
      </c>
    </row>
    <row r="141" spans="1:4">
      <c r="A141" s="3" t="s">
        <v>399</v>
      </c>
      <c r="B141" s="3">
        <v>90</v>
      </c>
      <c r="C141" s="3">
        <v>112.83</v>
      </c>
      <c r="D141" s="3">
        <v>56.76</v>
      </c>
    </row>
    <row r="142" spans="1:4">
      <c r="A142" s="3" t="s">
        <v>401</v>
      </c>
      <c r="B142" s="3">
        <v>90</v>
      </c>
      <c r="C142" s="3">
        <v>129.57</v>
      </c>
      <c r="D142" s="3">
        <v>61.83</v>
      </c>
    </row>
    <row r="143" spans="1:4">
      <c r="A143" s="3" t="s">
        <v>403</v>
      </c>
      <c r="B143" s="3">
        <v>90</v>
      </c>
      <c r="C143" s="3">
        <v>101.16</v>
      </c>
      <c r="D143" s="3">
        <v>48.58</v>
      </c>
    </row>
    <row r="144" spans="1:4">
      <c r="A144" s="3" t="s">
        <v>405</v>
      </c>
      <c r="B144" s="3">
        <v>90</v>
      </c>
      <c r="C144" s="3">
        <v>139.01</v>
      </c>
      <c r="D144" s="3">
        <v>66.38</v>
      </c>
    </row>
    <row r="145" spans="1:4">
      <c r="A145" s="3" t="s">
        <v>407</v>
      </c>
      <c r="B145" s="3">
        <v>90</v>
      </c>
      <c r="C145" s="3">
        <v>77.09</v>
      </c>
      <c r="D145" s="3">
        <v>36.69</v>
      </c>
    </row>
    <row r="146" spans="1:4">
      <c r="A146" s="3" t="s">
        <v>409</v>
      </c>
      <c r="B146" s="3">
        <v>90</v>
      </c>
      <c r="C146" s="3">
        <v>64.46</v>
      </c>
      <c r="D146" s="3">
        <v>30.07</v>
      </c>
    </row>
    <row r="147" spans="1:4">
      <c r="A147" s="3" t="s">
        <v>412</v>
      </c>
      <c r="B147" s="3">
        <v>90</v>
      </c>
      <c r="C147" s="3">
        <v>85.6</v>
      </c>
      <c r="D147" s="3">
        <v>42.76</v>
      </c>
    </row>
    <row r="148" spans="1:4">
      <c r="A148" s="3" t="s">
        <v>414</v>
      </c>
      <c r="B148" s="3">
        <v>90</v>
      </c>
      <c r="C148" s="3">
        <v>100.23</v>
      </c>
      <c r="D148" s="3">
        <v>49.34</v>
      </c>
    </row>
    <row r="149" spans="1:4">
      <c r="A149" s="3" t="s">
        <v>416</v>
      </c>
      <c r="B149" s="3">
        <v>90</v>
      </c>
      <c r="C149" s="3">
        <v>117.58</v>
      </c>
      <c r="D149" s="3">
        <v>55.93</v>
      </c>
    </row>
    <row r="150" spans="1:4">
      <c r="A150" s="3" t="s">
        <v>418</v>
      </c>
      <c r="B150" s="3">
        <v>90</v>
      </c>
      <c r="C150" s="3">
        <v>79.86</v>
      </c>
      <c r="D150" s="3">
        <v>38.96</v>
      </c>
    </row>
    <row r="151" spans="1:4">
      <c r="A151" s="3" t="s">
        <v>420</v>
      </c>
      <c r="B151" s="3">
        <v>90</v>
      </c>
      <c r="C151" s="3">
        <v>49.47</v>
      </c>
      <c r="D151" s="3">
        <v>24.62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0" customWidth="1"/>
    <col min="2" max="2" width="24" customWidth="1"/>
    <col min="3" max="4" width="16" customWidth="1"/>
    <col min="5" max="5" width="12" customWidth="1"/>
    <col min="6" max="6" width="18" customWidth="1"/>
    <col min="7" max="7" width="10" customWidth="1"/>
  </cols>
  <sheetData>
    <row r="1" ht="26.4" spans="1:9">
      <c r="A1" s="2" t="s">
        <v>21</v>
      </c>
      <c r="B1" s="2" t="s">
        <v>23</v>
      </c>
      <c r="C1" s="2" t="s">
        <v>426</v>
      </c>
      <c r="D1" s="2" t="s">
        <v>427</v>
      </c>
      <c r="E1" s="2" t="s">
        <v>428</v>
      </c>
      <c r="F1" s="2" t="s">
        <v>429</v>
      </c>
      <c r="G1" s="2" t="s">
        <v>430</v>
      </c>
      <c r="I1" s="7" t="s">
        <v>431</v>
      </c>
    </row>
    <row r="2" spans="1:12">
      <c r="A2" s="3" t="s">
        <v>29</v>
      </c>
      <c r="B2" s="3" t="s">
        <v>31</v>
      </c>
      <c r="C2" s="3">
        <v>14554</v>
      </c>
      <c r="D2" s="13">
        <v>284890474.88</v>
      </c>
      <c r="E2" s="12">
        <f>RANK(D2,$D$2:$D$151)</f>
        <v>3</v>
      </c>
      <c r="F2" s="14">
        <f>SUMPRODUCT(($E$2:$E$151&lt;=E2)*$D$2:$D$151)/SUM($D$2:$D$151)</f>
        <v>0.143701107973305</v>
      </c>
      <c r="G2" s="12" t="str">
        <f t="shared" ref="G2:G65" si="0">IF(F2&lt;=0.8,"A",IF(F2&lt;=0.95,"B","C"))</f>
        <v>A</v>
      </c>
      <c r="I2" s="15" t="s">
        <v>432</v>
      </c>
      <c r="J2" s="15" t="s">
        <v>433</v>
      </c>
      <c r="K2" s="15" t="s">
        <v>434</v>
      </c>
      <c r="L2" s="15" t="s">
        <v>435</v>
      </c>
    </row>
    <row r="3" spans="1:12">
      <c r="A3" s="3" t="s">
        <v>33</v>
      </c>
      <c r="B3" s="3" t="s">
        <v>31</v>
      </c>
      <c r="C3" s="3">
        <v>9249</v>
      </c>
      <c r="D3" s="13">
        <v>183734437.17</v>
      </c>
      <c r="E3" s="12">
        <f>RANK(D3,$D$2:$D$151)</f>
        <v>8</v>
      </c>
      <c r="F3" s="14">
        <f>SUMPRODUCT(($E$2:$E$151&lt;=E3)*$D$2:$D$151)/SUM($D$2:$D$151)</f>
        <v>0.306684927227483</v>
      </c>
      <c r="G3" s="12" t="str">
        <f t="shared" si="0"/>
        <v>A</v>
      </c>
      <c r="I3" s="16" t="s">
        <v>436</v>
      </c>
      <c r="J3" s="16">
        <f>COUNTIF($G$2:$G$151,I3)</f>
        <v>60</v>
      </c>
      <c r="K3" s="17">
        <f>J3/150</f>
        <v>0.4</v>
      </c>
      <c r="L3" s="17">
        <f>SUMIF($G$2:$G$151,I3,$D$2:$D$151)/SUM($D$2:$D$151)</f>
        <v>0.796893446763878</v>
      </c>
    </row>
    <row r="4" spans="1:12">
      <c r="A4" s="3" t="s">
        <v>36</v>
      </c>
      <c r="B4" s="3" t="s">
        <v>31</v>
      </c>
      <c r="C4" s="3">
        <v>14063</v>
      </c>
      <c r="D4" s="13">
        <v>201235764.17</v>
      </c>
      <c r="E4" s="12">
        <f>RANK(D4,$D$2:$D$151)</f>
        <v>6</v>
      </c>
      <c r="F4" s="14">
        <f>SUMPRODUCT(($E$2:$E$151&lt;=E4)*$D$2:$D$151)/SUM($D$2:$D$151)</f>
        <v>0.248874176492157</v>
      </c>
      <c r="G4" s="12" t="str">
        <f t="shared" si="0"/>
        <v>A</v>
      </c>
      <c r="I4" s="16" t="s">
        <v>437</v>
      </c>
      <c r="J4" s="16">
        <f>COUNTIF($G$2:$G$151,I4)</f>
        <v>44</v>
      </c>
      <c r="K4" s="17">
        <f>J4/150</f>
        <v>0.293333333333333</v>
      </c>
      <c r="L4" s="17">
        <f>SUMIF($G$2:$G$151,I4,$D$2:$D$151)/SUM($D$2:$D$151)</f>
        <v>0.151707229301756</v>
      </c>
    </row>
    <row r="5" spans="1:12">
      <c r="A5" s="3" t="s">
        <v>39</v>
      </c>
      <c r="B5" s="3" t="s">
        <v>31</v>
      </c>
      <c r="C5" s="3">
        <v>3845</v>
      </c>
      <c r="D5" s="13">
        <v>21803149.4</v>
      </c>
      <c r="E5" s="12">
        <f>RANK(D5,$D$2:$D$151)</f>
        <v>82</v>
      </c>
      <c r="F5" s="14">
        <f>SUMPRODUCT(($E$2:$E$151&lt;=E5)*$D$2:$D$151)/SUM($D$2:$D$151)</f>
        <v>0.885712703436247</v>
      </c>
      <c r="G5" s="12" t="str">
        <f t="shared" si="0"/>
        <v>B</v>
      </c>
      <c r="I5" s="16" t="s">
        <v>438</v>
      </c>
      <c r="J5" s="16">
        <f>COUNTIF($G$2:$G$151,I5)</f>
        <v>46</v>
      </c>
      <c r="K5" s="17">
        <f>J5/150</f>
        <v>0.306666666666667</v>
      </c>
      <c r="L5" s="17">
        <f>SUMIF($G$2:$G$151,I5,$D$2:$D$151)/SUM($D$2:$D$151)</f>
        <v>0.0513993239343666</v>
      </c>
    </row>
    <row r="6" spans="1:7">
      <c r="A6" s="3" t="s">
        <v>42</v>
      </c>
      <c r="B6" s="3" t="s">
        <v>31</v>
      </c>
      <c r="C6" s="3">
        <v>5756</v>
      </c>
      <c r="D6" s="13">
        <v>56929142.4</v>
      </c>
      <c r="E6" s="12">
        <f>RANK(D6,$D$2:$D$151)</f>
        <v>33</v>
      </c>
      <c r="F6" s="14">
        <f>SUMPRODUCT(($E$2:$E$151&lt;=E6)*$D$2:$D$151)/SUM($D$2:$D$151)</f>
        <v>0.616926091617781</v>
      </c>
      <c r="G6" s="12" t="str">
        <f t="shared" si="0"/>
        <v>A</v>
      </c>
    </row>
    <row r="7" spans="1:7">
      <c r="A7" s="3" t="s">
        <v>45</v>
      </c>
      <c r="B7" s="3" t="s">
        <v>31</v>
      </c>
      <c r="C7" s="3">
        <v>6988</v>
      </c>
      <c r="D7" s="13">
        <v>146636960.68</v>
      </c>
      <c r="E7" s="12">
        <f>RANK(D7,$D$2:$D$151)</f>
        <v>9</v>
      </c>
      <c r="F7" s="14">
        <f>SUMPRODUCT(($E$2:$E$151&lt;=E7)*$D$2:$D$151)/SUM($D$2:$D$151)</f>
        <v>0.329370958262538</v>
      </c>
      <c r="G7" s="12" t="str">
        <f t="shared" si="0"/>
        <v>A</v>
      </c>
    </row>
    <row r="8" spans="1:7">
      <c r="A8" s="3" t="s">
        <v>48</v>
      </c>
      <c r="B8" s="3" t="s">
        <v>31</v>
      </c>
      <c r="C8" s="3">
        <v>13582</v>
      </c>
      <c r="D8" s="13">
        <v>78734854</v>
      </c>
      <c r="E8" s="12">
        <f>RANK(D8,$D$2:$D$151)</f>
        <v>18</v>
      </c>
      <c r="F8" s="14">
        <f>SUMPRODUCT(($E$2:$E$151&lt;=E8)*$D$2:$D$151)/SUM($D$2:$D$151)</f>
        <v>0.463960065329596</v>
      </c>
      <c r="G8" s="12" t="str">
        <f t="shared" si="0"/>
        <v>A</v>
      </c>
    </row>
    <row r="9" spans="1:7">
      <c r="A9" s="3" t="s">
        <v>51</v>
      </c>
      <c r="B9" s="3" t="s">
        <v>31</v>
      </c>
      <c r="C9" s="3">
        <v>12175</v>
      </c>
      <c r="D9" s="13">
        <v>53013237.25</v>
      </c>
      <c r="E9" s="12">
        <f>RANK(D9,$D$2:$D$151)</f>
        <v>36</v>
      </c>
      <c r="F9" s="14">
        <f>SUMPRODUCT(($E$2:$E$151&lt;=E9)*$D$2:$D$151)/SUM($D$2:$D$151)</f>
        <v>0.642360576462744</v>
      </c>
      <c r="G9" s="12" t="str">
        <f t="shared" si="0"/>
        <v>A</v>
      </c>
    </row>
    <row r="10" spans="1:7">
      <c r="A10" s="3" t="s">
        <v>53</v>
      </c>
      <c r="B10" s="3" t="s">
        <v>31</v>
      </c>
      <c r="C10" s="3">
        <v>4182</v>
      </c>
      <c r="D10" s="13">
        <v>60306656.46</v>
      </c>
      <c r="E10" s="12">
        <f>RANK(D10,$D$2:$D$151)</f>
        <v>29</v>
      </c>
      <c r="F10" s="14">
        <f>SUMPRODUCT(($E$2:$E$151&lt;=E10)*$D$2:$D$151)/SUM($D$2:$D$151)</f>
        <v>0.580664392715641</v>
      </c>
      <c r="G10" s="12" t="str">
        <f t="shared" si="0"/>
        <v>A</v>
      </c>
    </row>
    <row r="11" spans="1:7">
      <c r="A11" s="3" t="s">
        <v>56</v>
      </c>
      <c r="B11" s="3" t="s">
        <v>31</v>
      </c>
      <c r="C11" s="3">
        <v>7652</v>
      </c>
      <c r="D11" s="13">
        <v>50608644.56</v>
      </c>
      <c r="E11" s="12">
        <f>RANK(D11,$D$2:$D$151)</f>
        <v>40</v>
      </c>
      <c r="F11" s="14">
        <f>SUMPRODUCT(($E$2:$E$151&lt;=E11)*$D$2:$D$151)/SUM($D$2:$D$151)</f>
        <v>0.674274948575889</v>
      </c>
      <c r="G11" s="12" t="str">
        <f t="shared" si="0"/>
        <v>A</v>
      </c>
    </row>
    <row r="12" spans="1:7">
      <c r="A12" s="3" t="s">
        <v>59</v>
      </c>
      <c r="B12" s="3" t="s">
        <v>31</v>
      </c>
      <c r="C12" s="3">
        <v>5545</v>
      </c>
      <c r="D12" s="13">
        <v>59623666.05</v>
      </c>
      <c r="E12" s="12">
        <f>RANK(D12,$D$2:$D$151)</f>
        <v>30</v>
      </c>
      <c r="F12" s="14">
        <f>SUMPRODUCT(($E$2:$E$151&lt;=E12)*$D$2:$D$151)/SUM($D$2:$D$151)</f>
        <v>0.589888699685463</v>
      </c>
      <c r="G12" s="12" t="str">
        <f t="shared" si="0"/>
        <v>A</v>
      </c>
    </row>
    <row r="13" spans="1:7">
      <c r="A13" s="3" t="s">
        <v>62</v>
      </c>
      <c r="B13" s="3" t="s">
        <v>31</v>
      </c>
      <c r="C13" s="3">
        <v>5924</v>
      </c>
      <c r="D13" s="13">
        <v>28847984.32</v>
      </c>
      <c r="E13" s="12">
        <f>RANK(D13,$D$2:$D$151)</f>
        <v>60</v>
      </c>
      <c r="F13" s="14">
        <f>SUMPRODUCT(($E$2:$E$151&lt;=E13)*$D$2:$D$151)/SUM($D$2:$D$151)</f>
        <v>0.796893446763878</v>
      </c>
      <c r="G13" s="12" t="str">
        <f t="shared" si="0"/>
        <v>A</v>
      </c>
    </row>
    <row r="14" spans="1:7">
      <c r="A14" s="3" t="s">
        <v>65</v>
      </c>
      <c r="B14" s="3" t="s">
        <v>31</v>
      </c>
      <c r="C14" s="3">
        <v>5113</v>
      </c>
      <c r="D14" s="13">
        <v>49508463.18</v>
      </c>
      <c r="E14" s="12">
        <f>RANK(D14,$D$2:$D$151)</f>
        <v>43</v>
      </c>
      <c r="F14" s="14">
        <f>SUMPRODUCT(($E$2:$E$151&lt;=E14)*$D$2:$D$151)/SUM($D$2:$D$151)</f>
        <v>0.697305348115822</v>
      </c>
      <c r="G14" s="12" t="str">
        <f t="shared" si="0"/>
        <v>A</v>
      </c>
    </row>
    <row r="15" spans="1:7">
      <c r="A15" s="3" t="s">
        <v>68</v>
      </c>
      <c r="B15" s="3" t="s">
        <v>31</v>
      </c>
      <c r="C15" s="3">
        <v>6869</v>
      </c>
      <c r="D15" s="13">
        <v>125050694.52</v>
      </c>
      <c r="E15" s="12">
        <f>RANK(D15,$D$2:$D$151)</f>
        <v>10</v>
      </c>
      <c r="F15" s="14">
        <f>SUMPRODUCT(($E$2:$E$151&lt;=E15)*$D$2:$D$151)/SUM($D$2:$D$151)</f>
        <v>0.348717403549458</v>
      </c>
      <c r="G15" s="12" t="str">
        <f t="shared" si="0"/>
        <v>A</v>
      </c>
    </row>
    <row r="16" spans="1:7">
      <c r="A16" s="3" t="s">
        <v>71</v>
      </c>
      <c r="B16" s="3" t="s">
        <v>31</v>
      </c>
      <c r="C16" s="3">
        <v>12661</v>
      </c>
      <c r="D16" s="13">
        <v>66365416.92</v>
      </c>
      <c r="E16" s="12">
        <f>RANK(D16,$D$2:$D$151)</f>
        <v>24</v>
      </c>
      <c r="F16" s="14">
        <f>SUMPRODUCT(($E$2:$E$151&lt;=E16)*$D$2:$D$151)/SUM($D$2:$D$151)</f>
        <v>0.531426529486717</v>
      </c>
      <c r="G16" s="12" t="str">
        <f t="shared" si="0"/>
        <v>A</v>
      </c>
    </row>
    <row r="17" spans="1:7">
      <c r="A17" s="3" t="s">
        <v>74</v>
      </c>
      <c r="B17" s="3" t="s">
        <v>31</v>
      </c>
      <c r="C17" s="3">
        <v>3968</v>
      </c>
      <c r="D17" s="13">
        <v>12006176</v>
      </c>
      <c r="E17" s="12">
        <f>RANK(D17,$D$2:$D$151)</f>
        <v>109</v>
      </c>
      <c r="F17" s="14">
        <f>SUMPRODUCT(($E$2:$E$151&lt;=E17)*$D$2:$D$151)/SUM($D$2:$D$151)</f>
        <v>0.958691294591164</v>
      </c>
      <c r="G17" s="12" t="str">
        <f t="shared" si="0"/>
        <v>C</v>
      </c>
    </row>
    <row r="18" spans="1:7">
      <c r="A18" s="3" t="s">
        <v>77</v>
      </c>
      <c r="B18" s="3" t="s">
        <v>31</v>
      </c>
      <c r="C18" s="3">
        <v>11026</v>
      </c>
      <c r="D18" s="13">
        <v>56159828.4</v>
      </c>
      <c r="E18" s="12">
        <f>RANK(D18,$D$2:$D$151)</f>
        <v>34</v>
      </c>
      <c r="F18" s="14">
        <f>SUMPRODUCT(($E$2:$E$151&lt;=E18)*$D$2:$D$151)/SUM($D$2:$D$151)</f>
        <v>0.625614512354938</v>
      </c>
      <c r="G18" s="12" t="str">
        <f t="shared" si="0"/>
        <v>A</v>
      </c>
    </row>
    <row r="19" spans="1:7">
      <c r="A19" s="3" t="s">
        <v>80</v>
      </c>
      <c r="B19" s="3" t="s">
        <v>31</v>
      </c>
      <c r="C19" s="3">
        <v>9600</v>
      </c>
      <c r="D19" s="13">
        <v>189940128</v>
      </c>
      <c r="E19" s="12">
        <f>RANK(D19,$D$2:$D$151)</f>
        <v>7</v>
      </c>
      <c r="F19" s="14">
        <f>SUMPRODUCT(($E$2:$E$151&lt;=E19)*$D$2:$D$151)/SUM($D$2:$D$151)</f>
        <v>0.278259589410075</v>
      </c>
      <c r="G19" s="12" t="str">
        <f t="shared" si="0"/>
        <v>A</v>
      </c>
    </row>
    <row r="20" spans="1:7">
      <c r="A20" s="3" t="s">
        <v>83</v>
      </c>
      <c r="B20" s="3" t="s">
        <v>31</v>
      </c>
      <c r="C20" s="3">
        <v>3896</v>
      </c>
      <c r="D20" s="13">
        <v>52579091.36</v>
      </c>
      <c r="E20" s="12">
        <f>RANK(D20,$D$2:$D$151)</f>
        <v>37</v>
      </c>
      <c r="F20" s="14">
        <f>SUMPRODUCT(($E$2:$E$151&lt;=E20)*$D$2:$D$151)/SUM($D$2:$D$151)</f>
        <v>0.650495025600646</v>
      </c>
      <c r="G20" s="12" t="str">
        <f t="shared" si="0"/>
        <v>A</v>
      </c>
    </row>
    <row r="21" spans="1:7">
      <c r="A21" s="3" t="s">
        <v>86</v>
      </c>
      <c r="B21" s="3" t="s">
        <v>31</v>
      </c>
      <c r="C21" s="3">
        <v>12382</v>
      </c>
      <c r="D21" s="13">
        <v>95946755.98</v>
      </c>
      <c r="E21" s="12">
        <f>RANK(D21,$D$2:$D$151)</f>
        <v>14</v>
      </c>
      <c r="F21" s="14">
        <f>SUMPRODUCT(($E$2:$E$151&lt;=E21)*$D$2:$D$151)/SUM($D$2:$D$151)</f>
        <v>0.413547105217018</v>
      </c>
      <c r="G21" s="12" t="str">
        <f t="shared" si="0"/>
        <v>A</v>
      </c>
    </row>
    <row r="22" spans="1:7">
      <c r="A22" s="3" t="s">
        <v>88</v>
      </c>
      <c r="B22" s="3" t="s">
        <v>90</v>
      </c>
      <c r="C22" s="3">
        <v>4000</v>
      </c>
      <c r="D22" s="13">
        <v>9810680</v>
      </c>
      <c r="E22" s="12">
        <f>RANK(D22,$D$2:$D$151)</f>
        <v>117</v>
      </c>
      <c r="F22" s="14">
        <f>SUMPRODUCT(($E$2:$E$151&lt;=E22)*$D$2:$D$151)/SUM($D$2:$D$151)</f>
        <v>0.972070001484764</v>
      </c>
      <c r="G22" s="12" t="str">
        <f t="shared" si="0"/>
        <v>C</v>
      </c>
    </row>
    <row r="23" spans="1:7">
      <c r="A23" s="3" t="s">
        <v>92</v>
      </c>
      <c r="B23" s="3" t="s">
        <v>90</v>
      </c>
      <c r="C23" s="3">
        <v>2653</v>
      </c>
      <c r="D23" s="13">
        <v>32135550.23</v>
      </c>
      <c r="E23" s="12">
        <f>RANK(D23,$D$2:$D$151)</f>
        <v>56</v>
      </c>
      <c r="F23" s="14">
        <f>SUMPRODUCT(($E$2:$E$151&lt;=E23)*$D$2:$D$151)/SUM($D$2:$D$151)</f>
        <v>0.778101996892765</v>
      </c>
      <c r="G23" s="12" t="str">
        <f t="shared" si="0"/>
        <v>A</v>
      </c>
    </row>
    <row r="24" spans="1:7">
      <c r="A24" s="3" t="s">
        <v>95</v>
      </c>
      <c r="B24" s="3" t="s">
        <v>90</v>
      </c>
      <c r="C24" s="3">
        <v>5343</v>
      </c>
      <c r="D24" s="13">
        <v>214643911.56</v>
      </c>
      <c r="E24" s="12">
        <f>RANK(D24,$D$2:$D$151)</f>
        <v>5</v>
      </c>
      <c r="F24" s="14">
        <f>SUMPRODUCT(($E$2:$E$151&lt;=E24)*$D$2:$D$151)/SUM($D$2:$D$151)</f>
        <v>0.217741229040483</v>
      </c>
      <c r="G24" s="12" t="str">
        <f t="shared" si="0"/>
        <v>A</v>
      </c>
    </row>
    <row r="25" spans="1:7">
      <c r="A25" s="3" t="s">
        <v>98</v>
      </c>
      <c r="B25" s="3" t="s">
        <v>90</v>
      </c>
      <c r="C25" s="3">
        <v>3305</v>
      </c>
      <c r="D25" s="13">
        <v>40982066.1</v>
      </c>
      <c r="E25" s="12">
        <f>RANK(D25,$D$2:$D$151)</f>
        <v>49</v>
      </c>
      <c r="F25" s="14">
        <f>SUMPRODUCT(($E$2:$E$151&lt;=E25)*$D$2:$D$151)/SUM($D$2:$D$151)</f>
        <v>0.738990746695284</v>
      </c>
      <c r="G25" s="12" t="str">
        <f t="shared" si="0"/>
        <v>A</v>
      </c>
    </row>
    <row r="26" spans="1:7">
      <c r="A26" s="3" t="s">
        <v>101</v>
      </c>
      <c r="B26" s="3" t="s">
        <v>90</v>
      </c>
      <c r="C26" s="3">
        <v>6147</v>
      </c>
      <c r="D26" s="13">
        <v>58283456.67</v>
      </c>
      <c r="E26" s="12">
        <f>RANK(D26,$D$2:$D$151)</f>
        <v>32</v>
      </c>
      <c r="F26" s="14">
        <f>SUMPRODUCT(($E$2:$E$151&lt;=E26)*$D$2:$D$151)/SUM($D$2:$D$151)</f>
        <v>0.608118651220105</v>
      </c>
      <c r="G26" s="12" t="str">
        <f t="shared" si="0"/>
        <v>A</v>
      </c>
    </row>
    <row r="27" spans="1:7">
      <c r="A27" s="3" t="s">
        <v>104</v>
      </c>
      <c r="B27" s="3" t="s">
        <v>90</v>
      </c>
      <c r="C27" s="3">
        <v>2359</v>
      </c>
      <c r="D27" s="13">
        <v>15629955.53</v>
      </c>
      <c r="E27" s="12">
        <f>RANK(D27,$D$2:$D$151)</f>
        <v>101</v>
      </c>
      <c r="F27" s="14">
        <f>SUMPRODUCT(($E$2:$E$151&lt;=E27)*$D$2:$D$151)/SUM($D$2:$D$151)</f>
        <v>0.941963812089315</v>
      </c>
      <c r="G27" s="12" t="str">
        <f t="shared" si="0"/>
        <v>B</v>
      </c>
    </row>
    <row r="28" spans="1:7">
      <c r="A28" s="3" t="s">
        <v>107</v>
      </c>
      <c r="B28" s="3" t="s">
        <v>90</v>
      </c>
      <c r="C28" s="3">
        <v>2354</v>
      </c>
      <c r="D28" s="13">
        <v>76318351.34</v>
      </c>
      <c r="E28" s="12">
        <f>RANK(D28,$D$2:$D$151)</f>
        <v>20</v>
      </c>
      <c r="F28" s="14">
        <f>SUMPRODUCT(($E$2:$E$151&lt;=E28)*$D$2:$D$151)/SUM($D$2:$D$151)</f>
        <v>0.487594629685994</v>
      </c>
      <c r="G28" s="12" t="str">
        <f t="shared" si="0"/>
        <v>A</v>
      </c>
    </row>
    <row r="29" spans="1:7">
      <c r="A29" s="3" t="s">
        <v>110</v>
      </c>
      <c r="B29" s="3" t="s">
        <v>90</v>
      </c>
      <c r="C29" s="3">
        <v>7714</v>
      </c>
      <c r="D29" s="13">
        <v>331998989</v>
      </c>
      <c r="E29" s="12">
        <f>RANK(D29,$D$2:$D$151)</f>
        <v>1</v>
      </c>
      <c r="F29" s="14">
        <f>SUMPRODUCT(($E$2:$E$151&lt;=E29)*$D$2:$D$151)/SUM($D$2:$D$151)</f>
        <v>0.0513631715573883</v>
      </c>
      <c r="G29" s="12" t="str">
        <f t="shared" si="0"/>
        <v>A</v>
      </c>
    </row>
    <row r="30" spans="1:7">
      <c r="A30" s="3" t="s">
        <v>113</v>
      </c>
      <c r="B30" s="3" t="s">
        <v>90</v>
      </c>
      <c r="C30" s="3">
        <v>5126</v>
      </c>
      <c r="D30" s="13">
        <v>99056208.02</v>
      </c>
      <c r="E30" s="12">
        <f>RANK(D30,$D$2:$D$151)</f>
        <v>13</v>
      </c>
      <c r="F30" s="14">
        <f>SUMPRODUCT(($E$2:$E$151&lt;=E30)*$D$2:$D$151)/SUM($D$2:$D$151)</f>
        <v>0.39870329589513</v>
      </c>
      <c r="G30" s="12" t="str">
        <f t="shared" si="0"/>
        <v>A</v>
      </c>
    </row>
    <row r="31" spans="1:7">
      <c r="A31" s="3" t="s">
        <v>116</v>
      </c>
      <c r="B31" s="3" t="s">
        <v>90</v>
      </c>
      <c r="C31" s="3">
        <v>3137</v>
      </c>
      <c r="D31" s="13">
        <v>117513808.09</v>
      </c>
      <c r="E31" s="12">
        <f>RANK(D31,$D$2:$D$151)</f>
        <v>11</v>
      </c>
      <c r="F31" s="14">
        <f>SUMPRODUCT(($E$2:$E$151&lt;=E31)*$D$2:$D$151)/SUM($D$2:$D$151)</f>
        <v>0.366897826036494</v>
      </c>
      <c r="G31" s="12" t="str">
        <f t="shared" si="0"/>
        <v>A</v>
      </c>
    </row>
    <row r="32" spans="1:7">
      <c r="A32" s="3" t="s">
        <v>119</v>
      </c>
      <c r="B32" s="3" t="s">
        <v>90</v>
      </c>
      <c r="C32" s="3">
        <v>6144</v>
      </c>
      <c r="D32" s="13">
        <v>106526576.64</v>
      </c>
      <c r="E32" s="12">
        <f>RANK(D32,$D$2:$D$151)</f>
        <v>12</v>
      </c>
      <c r="F32" s="14">
        <f>SUMPRODUCT(($E$2:$E$151&lt;=E32)*$D$2:$D$151)/SUM($D$2:$D$151)</f>
        <v>0.383378426919834</v>
      </c>
      <c r="G32" s="12" t="str">
        <f t="shared" si="0"/>
        <v>A</v>
      </c>
    </row>
    <row r="33" spans="1:7">
      <c r="A33" s="3" t="s">
        <v>122</v>
      </c>
      <c r="B33" s="3" t="s">
        <v>90</v>
      </c>
      <c r="C33" s="3">
        <v>1768</v>
      </c>
      <c r="D33" s="13">
        <v>65225338.88</v>
      </c>
      <c r="E33" s="12">
        <f>RANK(D33,$D$2:$D$151)</f>
        <v>26</v>
      </c>
      <c r="F33" s="14">
        <f>SUMPRODUCT(($E$2:$E$151&lt;=E33)*$D$2:$D$151)/SUM($D$2:$D$151)</f>
        <v>0.551728711770786</v>
      </c>
      <c r="G33" s="12" t="str">
        <f t="shared" si="0"/>
        <v>A</v>
      </c>
    </row>
    <row r="34" spans="1:7">
      <c r="A34" s="3" t="s">
        <v>125</v>
      </c>
      <c r="B34" s="3" t="s">
        <v>90</v>
      </c>
      <c r="C34" s="3">
        <v>2338</v>
      </c>
      <c r="D34" s="13">
        <v>16736058.64</v>
      </c>
      <c r="E34" s="12">
        <f>RANK(D34,$D$2:$D$151)</f>
        <v>98</v>
      </c>
      <c r="F34" s="14">
        <f>SUMPRODUCT(($E$2:$E$151&lt;=E34)*$D$2:$D$151)/SUM($D$2:$D$151)</f>
        <v>0.93455913960367</v>
      </c>
      <c r="G34" s="12" t="str">
        <f t="shared" si="0"/>
        <v>B</v>
      </c>
    </row>
    <row r="35" spans="1:7">
      <c r="A35" s="3" t="s">
        <v>128</v>
      </c>
      <c r="B35" s="3" t="s">
        <v>90</v>
      </c>
      <c r="C35" s="3">
        <v>1711</v>
      </c>
      <c r="D35" s="13">
        <v>5556523.83</v>
      </c>
      <c r="E35" s="12">
        <f>RANK(D35,$D$2:$D$151)</f>
        <v>133</v>
      </c>
      <c r="F35" s="14">
        <f>SUMPRODUCT(($E$2:$E$151&lt;=E35)*$D$2:$D$151)/SUM($D$2:$D$151)</f>
        <v>0.990526717814574</v>
      </c>
      <c r="G35" s="12" t="str">
        <f t="shared" si="0"/>
        <v>C</v>
      </c>
    </row>
    <row r="36" spans="1:7">
      <c r="A36" s="3" t="s">
        <v>131</v>
      </c>
      <c r="B36" s="3" t="s">
        <v>90</v>
      </c>
      <c r="C36" s="3">
        <v>1565</v>
      </c>
      <c r="D36" s="13">
        <v>61778515.85</v>
      </c>
      <c r="E36" s="12">
        <f>RANK(D36,$D$2:$D$151)</f>
        <v>28</v>
      </c>
      <c r="F36" s="14">
        <f>SUMPRODUCT(($E$2:$E$151&lt;=E36)*$D$2:$D$151)/SUM($D$2:$D$151)</f>
        <v>0.571334421105976</v>
      </c>
      <c r="G36" s="12" t="str">
        <f t="shared" si="0"/>
        <v>A</v>
      </c>
    </row>
    <row r="37" spans="1:7">
      <c r="A37" s="3" t="s">
        <v>134</v>
      </c>
      <c r="B37" s="3" t="s">
        <v>90</v>
      </c>
      <c r="C37" s="3">
        <v>3827</v>
      </c>
      <c r="D37" s="13">
        <v>73471587.94</v>
      </c>
      <c r="E37" s="12">
        <f>RANK(D37,$D$2:$D$151)</f>
        <v>21</v>
      </c>
      <c r="F37" s="14">
        <f>SUMPRODUCT(($E$2:$E$151&lt;=E37)*$D$2:$D$151)/SUM($D$2:$D$151)</f>
        <v>0.498961332299525</v>
      </c>
      <c r="G37" s="12" t="str">
        <f t="shared" si="0"/>
        <v>A</v>
      </c>
    </row>
    <row r="38" spans="1:7">
      <c r="A38" s="3" t="s">
        <v>136</v>
      </c>
      <c r="B38" s="3" t="s">
        <v>90</v>
      </c>
      <c r="C38" s="3">
        <v>7485</v>
      </c>
      <c r="D38" s="13">
        <v>311959380.9</v>
      </c>
      <c r="E38" s="12">
        <f>RANK(D38,$D$2:$D$151)</f>
        <v>2</v>
      </c>
      <c r="F38" s="14">
        <f>SUMPRODUCT(($E$2:$E$151&lt;=E38)*$D$2:$D$151)/SUM($D$2:$D$151)</f>
        <v>0.0996260390087808</v>
      </c>
      <c r="G38" s="12" t="str">
        <f t="shared" si="0"/>
        <v>A</v>
      </c>
    </row>
    <row r="39" spans="1:7">
      <c r="A39" s="3" t="s">
        <v>139</v>
      </c>
      <c r="B39" s="3" t="s">
        <v>90</v>
      </c>
      <c r="C39" s="3">
        <v>4563</v>
      </c>
      <c r="D39" s="13">
        <v>30783549.42</v>
      </c>
      <c r="E39" s="12">
        <f>RANK(D39,$D$2:$D$151)</f>
        <v>58</v>
      </c>
      <c r="F39" s="14">
        <f>SUMPRODUCT(($E$2:$E$151&lt;=E39)*$D$2:$D$151)/SUM($D$2:$D$151)</f>
        <v>0.787675014179198</v>
      </c>
      <c r="G39" s="12" t="str">
        <f t="shared" si="0"/>
        <v>A</v>
      </c>
    </row>
    <row r="40" spans="1:7">
      <c r="A40" s="3" t="s">
        <v>141</v>
      </c>
      <c r="B40" s="3" t="s">
        <v>90</v>
      </c>
      <c r="C40" s="3">
        <v>4118</v>
      </c>
      <c r="D40" s="13">
        <v>28730874.2</v>
      </c>
      <c r="E40" s="12">
        <f>RANK(D40,$D$2:$D$151)</f>
        <v>61</v>
      </c>
      <c r="F40" s="14">
        <f>SUMPRODUCT(($E$2:$E$151&lt;=E40)*$D$2:$D$151)/SUM($D$2:$D$151)</f>
        <v>0.80133836638539</v>
      </c>
      <c r="G40" s="12" t="str">
        <f t="shared" si="0"/>
        <v>B</v>
      </c>
    </row>
    <row r="41" spans="1:7">
      <c r="A41" s="3" t="s">
        <v>144</v>
      </c>
      <c r="B41" s="3" t="s">
        <v>90</v>
      </c>
      <c r="C41" s="3">
        <v>8484</v>
      </c>
      <c r="D41" s="13">
        <v>263933337.36</v>
      </c>
      <c r="E41" s="12">
        <f>RANK(D41,$D$2:$D$151)</f>
        <v>4</v>
      </c>
      <c r="F41" s="14">
        <f>SUMPRODUCT(($E$2:$E$151&lt;=E41)*$D$2:$D$151)/SUM($D$2:$D$151)</f>
        <v>0.184533922938701</v>
      </c>
      <c r="G41" s="12" t="str">
        <f t="shared" si="0"/>
        <v>A</v>
      </c>
    </row>
    <row r="42" spans="1:7">
      <c r="A42" s="3" t="s">
        <v>147</v>
      </c>
      <c r="B42" s="3" t="s">
        <v>149</v>
      </c>
      <c r="C42" s="3">
        <v>15051</v>
      </c>
      <c r="D42" s="13">
        <v>40841942.07</v>
      </c>
      <c r="E42" s="12">
        <f>RANK(D42,$D$2:$D$151)</f>
        <v>50</v>
      </c>
      <c r="F42" s="14">
        <f>SUMPRODUCT(($E$2:$E$151&lt;=E42)*$D$2:$D$151)/SUM($D$2:$D$151)</f>
        <v>0.745309355325981</v>
      </c>
      <c r="G42" s="12" t="str">
        <f t="shared" si="0"/>
        <v>A</v>
      </c>
    </row>
    <row r="43" spans="1:7">
      <c r="A43" s="3" t="s">
        <v>151</v>
      </c>
      <c r="B43" s="3" t="s">
        <v>149</v>
      </c>
      <c r="C43" s="3">
        <v>6728</v>
      </c>
      <c r="D43" s="13">
        <v>19307678</v>
      </c>
      <c r="E43" s="12">
        <f>RANK(D43,$D$2:$D$151)</f>
        <v>93</v>
      </c>
      <c r="F43" s="14">
        <f>SUMPRODUCT(($E$2:$E$151&lt;=E43)*$D$2:$D$151)/SUM($D$2:$D$151)</f>
        <v>0.920546791748298</v>
      </c>
      <c r="G43" s="12" t="str">
        <f t="shared" si="0"/>
        <v>B</v>
      </c>
    </row>
    <row r="44" spans="1:7">
      <c r="A44" s="3" t="s">
        <v>154</v>
      </c>
      <c r="B44" s="3" t="s">
        <v>149</v>
      </c>
      <c r="C44" s="3">
        <v>22842</v>
      </c>
      <c r="D44" s="13">
        <v>85931147.16</v>
      </c>
      <c r="E44" s="12">
        <f>RANK(D44,$D$2:$D$151)</f>
        <v>15</v>
      </c>
      <c r="F44" s="14">
        <f>SUMPRODUCT(($E$2:$E$151&lt;=E44)*$D$2:$D$151)/SUM($D$2:$D$151)</f>
        <v>0.426841411524988</v>
      </c>
      <c r="G44" s="12" t="str">
        <f t="shared" si="0"/>
        <v>A</v>
      </c>
    </row>
    <row r="45" spans="1:7">
      <c r="A45" s="3" t="s">
        <v>157</v>
      </c>
      <c r="B45" s="3" t="s">
        <v>149</v>
      </c>
      <c r="C45" s="3">
        <v>6012</v>
      </c>
      <c r="D45" s="13">
        <v>7433958.24</v>
      </c>
      <c r="E45" s="12">
        <f>RANK(D45,$D$2:$D$151)</f>
        <v>125</v>
      </c>
      <c r="F45" s="14">
        <f>SUMPRODUCT(($E$2:$E$151&lt;=E45)*$D$2:$D$151)/SUM($D$2:$D$151)</f>
        <v>0.982358878840706</v>
      </c>
      <c r="G45" s="12" t="str">
        <f t="shared" si="0"/>
        <v>C</v>
      </c>
    </row>
    <row r="46" spans="1:7">
      <c r="A46" s="3" t="s">
        <v>160</v>
      </c>
      <c r="B46" s="3" t="s">
        <v>149</v>
      </c>
      <c r="C46" s="3">
        <v>19007</v>
      </c>
      <c r="D46" s="13">
        <v>38454012.05</v>
      </c>
      <c r="E46" s="12">
        <f>RANK(D46,$D$2:$D$151)</f>
        <v>52</v>
      </c>
      <c r="F46" s="14">
        <f>SUMPRODUCT(($E$2:$E$151&lt;=E46)*$D$2:$D$151)/SUM($D$2:$D$151)</f>
        <v>0.757263896454961</v>
      </c>
      <c r="G46" s="12" t="str">
        <f t="shared" si="0"/>
        <v>A</v>
      </c>
    </row>
    <row r="47" spans="1:7">
      <c r="A47" s="3" t="s">
        <v>162</v>
      </c>
      <c r="B47" s="3" t="s">
        <v>149</v>
      </c>
      <c r="C47" s="3">
        <v>17692</v>
      </c>
      <c r="D47" s="13">
        <v>12955497.76</v>
      </c>
      <c r="E47" s="12">
        <f>RANK(D47,$D$2:$D$151)</f>
        <v>108</v>
      </c>
      <c r="F47" s="14">
        <f>SUMPRODUCT(($E$2:$E$151&lt;=E47)*$D$2:$D$151)/SUM($D$2:$D$151)</f>
        <v>0.956833833279328</v>
      </c>
      <c r="G47" s="12" t="str">
        <f t="shared" si="0"/>
        <v>C</v>
      </c>
    </row>
    <row r="48" spans="1:7">
      <c r="A48" s="3" t="s">
        <v>165</v>
      </c>
      <c r="B48" s="3" t="s">
        <v>149</v>
      </c>
      <c r="C48" s="3">
        <v>10714</v>
      </c>
      <c r="D48" s="13">
        <v>13927985.72</v>
      </c>
      <c r="E48" s="12">
        <f>RANK(D48,$D$2:$D$151)</f>
        <v>104</v>
      </c>
      <c r="F48" s="14">
        <f>SUMPRODUCT(($E$2:$E$151&lt;=E48)*$D$2:$D$151)/SUM($D$2:$D$151)</f>
        <v>0.948600676065634</v>
      </c>
      <c r="G48" s="12" t="str">
        <f t="shared" si="0"/>
        <v>B</v>
      </c>
    </row>
    <row r="49" spans="1:7">
      <c r="A49" s="3" t="s">
        <v>168</v>
      </c>
      <c r="B49" s="3" t="s">
        <v>149</v>
      </c>
      <c r="C49" s="3">
        <v>14938</v>
      </c>
      <c r="D49" s="13">
        <v>25652728.64</v>
      </c>
      <c r="E49" s="12">
        <f>RANK(D49,$D$2:$D$151)</f>
        <v>75</v>
      </c>
      <c r="F49" s="14">
        <f>SUMPRODUCT(($E$2:$E$151&lt;=E49)*$D$2:$D$151)/SUM($D$2:$D$151)</f>
        <v>0.860340653909619</v>
      </c>
      <c r="G49" s="12" t="str">
        <f t="shared" si="0"/>
        <v>B</v>
      </c>
    </row>
    <row r="50" spans="1:7">
      <c r="A50" s="3" t="s">
        <v>171</v>
      </c>
      <c r="B50" s="3" t="s">
        <v>149</v>
      </c>
      <c r="C50" s="3">
        <v>21455</v>
      </c>
      <c r="D50" s="13">
        <v>81924201.1</v>
      </c>
      <c r="E50" s="12">
        <f>RANK(D50,$D$2:$D$151)</f>
        <v>16</v>
      </c>
      <c r="F50" s="14">
        <f>SUMPRODUCT(($E$2:$E$151&lt;=E50)*$D$2:$D$151)/SUM($D$2:$D$151)</f>
        <v>0.439515807939494</v>
      </c>
      <c r="G50" s="12" t="str">
        <f t="shared" si="0"/>
        <v>A</v>
      </c>
    </row>
    <row r="51" spans="1:7">
      <c r="A51" s="3" t="s">
        <v>174</v>
      </c>
      <c r="B51" s="3" t="s">
        <v>149</v>
      </c>
      <c r="C51" s="3">
        <v>21387</v>
      </c>
      <c r="D51" s="13">
        <v>7368249.24</v>
      </c>
      <c r="E51" s="12">
        <f>RANK(D51,$D$2:$D$151)</f>
        <v>126</v>
      </c>
      <c r="F51" s="14">
        <f>SUMPRODUCT(($E$2:$E$151&lt;=E51)*$D$2:$D$151)/SUM($D$2:$D$151)</f>
        <v>0.983498811980055</v>
      </c>
      <c r="G51" s="12" t="str">
        <f t="shared" si="0"/>
        <v>C</v>
      </c>
    </row>
    <row r="52" spans="1:7">
      <c r="A52" s="3" t="s">
        <v>176</v>
      </c>
      <c r="B52" s="3" t="s">
        <v>149</v>
      </c>
      <c r="C52" s="3">
        <v>23967</v>
      </c>
      <c r="D52" s="13">
        <v>76449696.93</v>
      </c>
      <c r="E52" s="12">
        <f>RANK(D52,$D$2:$D$151)</f>
        <v>19</v>
      </c>
      <c r="F52" s="14">
        <f>SUMPRODUCT(($E$2:$E$151&lt;=E52)*$D$2:$D$151)/SUM($D$2:$D$151)</f>
        <v>0.475787507668362</v>
      </c>
      <c r="G52" s="12" t="str">
        <f t="shared" si="0"/>
        <v>A</v>
      </c>
    </row>
    <row r="53" spans="1:7">
      <c r="A53" s="3" t="s">
        <v>179</v>
      </c>
      <c r="B53" s="3" t="s">
        <v>149</v>
      </c>
      <c r="C53" s="3">
        <v>17757</v>
      </c>
      <c r="D53" s="13">
        <v>70951467.33</v>
      </c>
      <c r="E53" s="12">
        <f>RANK(D53,$D$2:$D$151)</f>
        <v>23</v>
      </c>
      <c r="F53" s="14">
        <f>SUMPRODUCT(($E$2:$E$151&lt;=E53)*$D$2:$D$151)/SUM($D$2:$D$151)</f>
        <v>0.521159214200587</v>
      </c>
      <c r="G53" s="12" t="str">
        <f t="shared" si="0"/>
        <v>A</v>
      </c>
    </row>
    <row r="54" spans="1:7">
      <c r="A54" s="3" t="s">
        <v>182</v>
      </c>
      <c r="B54" s="3" t="s">
        <v>149</v>
      </c>
      <c r="C54" s="3">
        <v>18079</v>
      </c>
      <c r="D54" s="13">
        <v>18664036.44</v>
      </c>
      <c r="E54" s="12">
        <f>RANK(D54,$D$2:$D$151)</f>
        <v>95</v>
      </c>
      <c r="F54" s="14">
        <f>SUMPRODUCT(($E$2:$E$151&lt;=E54)*$D$2:$D$151)/SUM($D$2:$D$151)</f>
        <v>0.926347749314376</v>
      </c>
      <c r="G54" s="12" t="str">
        <f t="shared" si="0"/>
        <v>B</v>
      </c>
    </row>
    <row r="55" spans="1:7">
      <c r="A55" s="3" t="s">
        <v>184</v>
      </c>
      <c r="B55" s="3" t="s">
        <v>149</v>
      </c>
      <c r="C55" s="3">
        <v>22218</v>
      </c>
      <c r="D55" s="13">
        <v>72530216.64</v>
      </c>
      <c r="E55" s="12">
        <f>RANK(D55,$D$2:$D$151)</f>
        <v>22</v>
      </c>
      <c r="F55" s="14">
        <f>SUMPRODUCT(($E$2:$E$151&lt;=E55)*$D$2:$D$151)/SUM($D$2:$D$151)</f>
        <v>0.510182396470822</v>
      </c>
      <c r="G55" s="12" t="str">
        <f t="shared" si="0"/>
        <v>A</v>
      </c>
    </row>
    <row r="56" spans="1:7">
      <c r="A56" s="3" t="s">
        <v>187</v>
      </c>
      <c r="B56" s="3" t="s">
        <v>149</v>
      </c>
      <c r="C56" s="3">
        <v>6533</v>
      </c>
      <c r="D56" s="13">
        <v>2923909.48</v>
      </c>
      <c r="E56" s="12">
        <f>RANK(D56,$D$2:$D$151)</f>
        <v>146</v>
      </c>
      <c r="F56" s="14">
        <f>SUMPRODUCT(($E$2:$E$151&lt;=E56)*$D$2:$D$151)/SUM($D$2:$D$151)</f>
        <v>0.998795063126836</v>
      </c>
      <c r="G56" s="12" t="str">
        <f t="shared" si="0"/>
        <v>C</v>
      </c>
    </row>
    <row r="57" spans="1:7">
      <c r="A57" s="3" t="s">
        <v>190</v>
      </c>
      <c r="B57" s="3" t="s">
        <v>149</v>
      </c>
      <c r="C57" s="3">
        <v>9097</v>
      </c>
      <c r="D57" s="13">
        <v>27446558.7</v>
      </c>
      <c r="E57" s="12">
        <f>RANK(D57,$D$2:$D$151)</f>
        <v>68</v>
      </c>
      <c r="F57" s="14">
        <f>SUMPRODUCT(($E$2:$E$151&lt;=E57)*$D$2:$D$151)/SUM($D$2:$D$151)</f>
        <v>0.831716462038183</v>
      </c>
      <c r="G57" s="12" t="str">
        <f t="shared" si="0"/>
        <v>B</v>
      </c>
    </row>
    <row r="58" spans="1:7">
      <c r="A58" s="3" t="s">
        <v>193</v>
      </c>
      <c r="B58" s="3" t="s">
        <v>149</v>
      </c>
      <c r="C58" s="3">
        <v>7836</v>
      </c>
      <c r="D58" s="13">
        <v>27977184.24</v>
      </c>
      <c r="E58" s="12">
        <f>RANK(D58,$D$2:$D$151)</f>
        <v>64</v>
      </c>
      <c r="F58" s="14">
        <f>SUMPRODUCT(($E$2:$E$151&lt;=E58)*$D$2:$D$151)/SUM($D$2:$D$151)</f>
        <v>0.814517835587314</v>
      </c>
      <c r="G58" s="12" t="str">
        <f t="shared" si="0"/>
        <v>B</v>
      </c>
    </row>
    <row r="59" spans="1:7">
      <c r="A59" s="3" t="s">
        <v>196</v>
      </c>
      <c r="B59" s="3" t="s">
        <v>149</v>
      </c>
      <c r="C59" s="3">
        <v>16170</v>
      </c>
      <c r="D59" s="13">
        <v>51745617</v>
      </c>
      <c r="E59" s="12">
        <f>RANK(D59,$D$2:$D$151)</f>
        <v>38</v>
      </c>
      <c r="F59" s="14">
        <f>SUMPRODUCT(($E$2:$E$151&lt;=E59)*$D$2:$D$151)/SUM($D$2:$D$151)</f>
        <v>0.658500528904495</v>
      </c>
      <c r="G59" s="12" t="str">
        <f t="shared" si="0"/>
        <v>A</v>
      </c>
    </row>
    <row r="60" spans="1:7">
      <c r="A60" s="3" t="s">
        <v>199</v>
      </c>
      <c r="B60" s="3" t="s">
        <v>149</v>
      </c>
      <c r="C60" s="3">
        <v>14614</v>
      </c>
      <c r="D60" s="13">
        <v>55229228.8</v>
      </c>
      <c r="E60" s="12">
        <f>RANK(D60,$D$2:$D$151)</f>
        <v>35</v>
      </c>
      <c r="F60" s="14">
        <f>SUMPRODUCT(($E$2:$E$151&lt;=E60)*$D$2:$D$151)/SUM($D$2:$D$151)</f>
        <v>0.634158961126848</v>
      </c>
      <c r="G60" s="12" t="str">
        <f t="shared" si="0"/>
        <v>A</v>
      </c>
    </row>
    <row r="61" spans="1:7">
      <c r="A61" s="3" t="s">
        <v>202</v>
      </c>
      <c r="B61" s="3" t="s">
        <v>149</v>
      </c>
      <c r="C61" s="3">
        <v>16439</v>
      </c>
      <c r="D61" s="13">
        <v>23448753.99</v>
      </c>
      <c r="E61" s="12">
        <f>RANK(D61,$D$2:$D$151)</f>
        <v>80</v>
      </c>
      <c r="F61" s="14">
        <f>SUMPRODUCT(($E$2:$E$151&lt;=E61)*$D$2:$D$151)/SUM($D$2:$D$151)</f>
        <v>0.878909013084862</v>
      </c>
      <c r="G61" s="12" t="str">
        <f t="shared" si="0"/>
        <v>B</v>
      </c>
    </row>
    <row r="62" spans="1:7">
      <c r="A62" s="3" t="s">
        <v>204</v>
      </c>
      <c r="B62" s="3" t="s">
        <v>149</v>
      </c>
      <c r="C62" s="3">
        <v>12793</v>
      </c>
      <c r="D62" s="13">
        <v>18831935.65</v>
      </c>
      <c r="E62" s="12">
        <f>RANK(D62,$D$2:$D$151)</f>
        <v>94</v>
      </c>
      <c r="F62" s="14">
        <f>SUMPRODUCT(($E$2:$E$151&lt;=E62)*$D$2:$D$151)/SUM($D$2:$D$151)</f>
        <v>0.923460258275597</v>
      </c>
      <c r="G62" s="12" t="str">
        <f t="shared" si="0"/>
        <v>B</v>
      </c>
    </row>
    <row r="63" spans="1:7">
      <c r="A63" s="3" t="s">
        <v>206</v>
      </c>
      <c r="B63" s="3" t="s">
        <v>149</v>
      </c>
      <c r="C63" s="3">
        <v>17730</v>
      </c>
      <c r="D63" s="13">
        <v>51353349.3</v>
      </c>
      <c r="E63" s="12">
        <f>RANK(D63,$D$2:$D$151)</f>
        <v>39</v>
      </c>
      <c r="F63" s="14">
        <f>SUMPRODUCT(($E$2:$E$151&lt;=E63)*$D$2:$D$151)/SUM($D$2:$D$151)</f>
        <v>0.666445344935674</v>
      </c>
      <c r="G63" s="12" t="str">
        <f t="shared" si="0"/>
        <v>A</v>
      </c>
    </row>
    <row r="64" spans="1:7">
      <c r="A64" s="3" t="s">
        <v>208</v>
      </c>
      <c r="B64" s="3" t="s">
        <v>149</v>
      </c>
      <c r="C64" s="3">
        <v>21567</v>
      </c>
      <c r="D64" s="13">
        <v>47364151.38</v>
      </c>
      <c r="E64" s="12">
        <f>RANK(D64,$D$2:$D$151)</f>
        <v>45</v>
      </c>
      <c r="F64" s="14">
        <f>SUMPRODUCT(($E$2:$E$151&lt;=E64)*$D$2:$D$151)/SUM($D$2:$D$151)</f>
        <v>0.712016043890401</v>
      </c>
      <c r="G64" s="12" t="str">
        <f t="shared" si="0"/>
        <v>A</v>
      </c>
    </row>
    <row r="65" spans="1:7">
      <c r="A65" s="3" t="s">
        <v>210</v>
      </c>
      <c r="B65" s="3" t="s">
        <v>149</v>
      </c>
      <c r="C65" s="3">
        <v>6527</v>
      </c>
      <c r="D65" s="13">
        <v>22174242.37</v>
      </c>
      <c r="E65" s="12">
        <f>RANK(D65,$D$2:$D$151)</f>
        <v>81</v>
      </c>
      <c r="F65" s="14">
        <f>SUMPRODUCT(($E$2:$E$151&lt;=E65)*$D$2:$D$151)/SUM($D$2:$D$151)</f>
        <v>0.882339563938152</v>
      </c>
      <c r="G65" s="12" t="str">
        <f t="shared" si="0"/>
        <v>B</v>
      </c>
    </row>
    <row r="66" spans="1:7">
      <c r="A66" s="3" t="s">
        <v>213</v>
      </c>
      <c r="B66" s="3" t="s">
        <v>149</v>
      </c>
      <c r="C66" s="3">
        <v>4023</v>
      </c>
      <c r="D66" s="13">
        <v>5875229.43</v>
      </c>
      <c r="E66" s="12">
        <f>RANK(D66,$D$2:$D$151)</f>
        <v>132</v>
      </c>
      <c r="F66" s="14">
        <f>SUMPRODUCT(($E$2:$E$151&lt;=E66)*$D$2:$D$151)/SUM($D$2:$D$151)</f>
        <v>0.989667074574085</v>
      </c>
      <c r="G66" s="12" t="str">
        <f t="shared" ref="G66:G129" si="1">IF(F66&lt;=0.8,"A",IF(F66&lt;=0.95,"B","C"))</f>
        <v>C</v>
      </c>
    </row>
    <row r="67" spans="1:7">
      <c r="A67" s="3" t="s">
        <v>216</v>
      </c>
      <c r="B67" s="3" t="s">
        <v>149</v>
      </c>
      <c r="C67" s="3">
        <v>23537</v>
      </c>
      <c r="D67" s="13">
        <v>38817220.4</v>
      </c>
      <c r="E67" s="12">
        <f>RANK(D67,$D$2:$D$151)</f>
        <v>51</v>
      </c>
      <c r="F67" s="14">
        <f>SUMPRODUCT(($E$2:$E$151&lt;=E67)*$D$2:$D$151)/SUM($D$2:$D$151)</f>
        <v>0.751314721657944</v>
      </c>
      <c r="G67" s="12" t="str">
        <f t="shared" si="1"/>
        <v>A</v>
      </c>
    </row>
    <row r="68" spans="1:7">
      <c r="A68" s="3" t="s">
        <v>219</v>
      </c>
      <c r="B68" s="3" t="s">
        <v>149</v>
      </c>
      <c r="C68" s="3">
        <v>9263</v>
      </c>
      <c r="D68" s="13">
        <v>24734896.27</v>
      </c>
      <c r="E68" s="12">
        <f>RANK(D68,$D$2:$D$151)</f>
        <v>76</v>
      </c>
      <c r="F68" s="14">
        <f>SUMPRODUCT(($E$2:$E$151&lt;=E68)*$D$2:$D$151)/SUM($D$2:$D$151)</f>
        <v>0.864167360504109</v>
      </c>
      <c r="G68" s="12" t="str">
        <f t="shared" si="1"/>
        <v>B</v>
      </c>
    </row>
    <row r="69" spans="1:7">
      <c r="A69" s="3" t="s">
        <v>222</v>
      </c>
      <c r="B69" s="3" t="s">
        <v>149</v>
      </c>
      <c r="C69" s="3">
        <v>20023</v>
      </c>
      <c r="D69" s="13">
        <v>79266852.17</v>
      </c>
      <c r="E69" s="12">
        <f>RANK(D69,$D$2:$D$151)</f>
        <v>17</v>
      </c>
      <c r="F69" s="14">
        <f>SUMPRODUCT(($E$2:$E$151&lt;=E69)*$D$2:$D$151)/SUM($D$2:$D$151)</f>
        <v>0.451779089038888</v>
      </c>
      <c r="G69" s="12" t="str">
        <f t="shared" si="1"/>
        <v>A</v>
      </c>
    </row>
    <row r="70" spans="1:7">
      <c r="A70" s="3" t="s">
        <v>224</v>
      </c>
      <c r="B70" s="3" t="s">
        <v>149</v>
      </c>
      <c r="C70" s="3">
        <v>13276</v>
      </c>
      <c r="D70" s="13">
        <v>7901609.68</v>
      </c>
      <c r="E70" s="12">
        <f>RANK(D70,$D$2:$D$151)</f>
        <v>123</v>
      </c>
      <c r="F70" s="14">
        <f>SUMPRODUCT(($E$2:$E$151&lt;=E70)*$D$2:$D$151)/SUM($D$2:$D$151)</f>
        <v>0.980058676503892</v>
      </c>
      <c r="G70" s="12" t="str">
        <f t="shared" si="1"/>
        <v>C</v>
      </c>
    </row>
    <row r="71" spans="1:7">
      <c r="A71" s="3" t="s">
        <v>226</v>
      </c>
      <c r="B71" s="3" t="s">
        <v>149</v>
      </c>
      <c r="C71" s="3">
        <v>10107</v>
      </c>
      <c r="D71" s="13">
        <v>4691669.4</v>
      </c>
      <c r="E71" s="12">
        <f>RANK(D71,$D$2:$D$151)</f>
        <v>138</v>
      </c>
      <c r="F71" s="14">
        <f>SUMPRODUCT(($E$2:$E$151&lt;=E71)*$D$2:$D$151)/SUM($D$2:$D$151)</f>
        <v>0.994282383516316</v>
      </c>
      <c r="G71" s="12" t="str">
        <f t="shared" si="1"/>
        <v>C</v>
      </c>
    </row>
    <row r="72" spans="1:7">
      <c r="A72" s="3" t="s">
        <v>229</v>
      </c>
      <c r="B72" s="3" t="s">
        <v>149</v>
      </c>
      <c r="C72" s="3">
        <v>17411</v>
      </c>
      <c r="D72" s="13">
        <v>59550495.08</v>
      </c>
      <c r="E72" s="12">
        <f>RANK(D72,$D$2:$D$151)</f>
        <v>31</v>
      </c>
      <c r="F72" s="14">
        <f>SUMPRODUCT(($E$2:$E$151&lt;=E72)*$D$2:$D$151)/SUM($D$2:$D$151)</f>
        <v>0.599101686460918</v>
      </c>
      <c r="G72" s="12" t="str">
        <f t="shared" si="1"/>
        <v>A</v>
      </c>
    </row>
    <row r="73" spans="1:7">
      <c r="A73" s="3" t="s">
        <v>231</v>
      </c>
      <c r="B73" s="3" t="s">
        <v>149</v>
      </c>
      <c r="C73" s="3">
        <v>19279</v>
      </c>
      <c r="D73" s="13">
        <v>66003006.03</v>
      </c>
      <c r="E73" s="12">
        <f>RANK(D73,$D$2:$D$151)</f>
        <v>25</v>
      </c>
      <c r="F73" s="14">
        <f>SUMPRODUCT(($E$2:$E$151&lt;=E73)*$D$2:$D$151)/SUM($D$2:$D$151)</f>
        <v>0.541637776611998</v>
      </c>
      <c r="G73" s="12" t="str">
        <f t="shared" si="1"/>
        <v>A</v>
      </c>
    </row>
    <row r="74" spans="1:7">
      <c r="A74" s="3" t="s">
        <v>234</v>
      </c>
      <c r="B74" s="3" t="s">
        <v>149</v>
      </c>
      <c r="C74" s="3">
        <v>15337</v>
      </c>
      <c r="D74" s="13">
        <v>23913297.03</v>
      </c>
      <c r="E74" s="12">
        <f>RANK(D74,$D$2:$D$151)</f>
        <v>78</v>
      </c>
      <c r="F74" s="14">
        <f>SUMPRODUCT(($E$2:$E$151&lt;=E74)*$D$2:$D$151)/SUM($D$2:$D$151)</f>
        <v>0.871606737420592</v>
      </c>
      <c r="G74" s="12" t="str">
        <f t="shared" si="1"/>
        <v>B</v>
      </c>
    </row>
    <row r="75" spans="1:7">
      <c r="A75" s="3" t="s">
        <v>236</v>
      </c>
      <c r="B75" s="3" t="s">
        <v>149</v>
      </c>
      <c r="C75" s="3">
        <v>4263</v>
      </c>
      <c r="D75" s="13">
        <v>6619458.51</v>
      </c>
      <c r="E75" s="12">
        <f>RANK(D75,$D$2:$D$151)</f>
        <v>129</v>
      </c>
      <c r="F75" s="14">
        <f>SUMPRODUCT(($E$2:$E$151&lt;=E75)*$D$2:$D$151)/SUM($D$2:$D$151)</f>
        <v>0.986795110769912</v>
      </c>
      <c r="G75" s="12" t="str">
        <f t="shared" si="1"/>
        <v>C</v>
      </c>
    </row>
    <row r="76" spans="1:7">
      <c r="A76" s="3" t="s">
        <v>239</v>
      </c>
      <c r="B76" s="3" t="s">
        <v>149</v>
      </c>
      <c r="C76" s="3">
        <v>16257</v>
      </c>
      <c r="D76" s="13">
        <v>21584093.76</v>
      </c>
      <c r="E76" s="12">
        <f>RANK(D76,$D$2:$D$151)</f>
        <v>83</v>
      </c>
      <c r="F76" s="14">
        <f>SUMPRODUCT(($E$2:$E$151&lt;=E76)*$D$2:$D$151)/SUM($D$2:$D$151)</f>
        <v>0.889051953094943</v>
      </c>
      <c r="G76" s="12" t="str">
        <f t="shared" si="1"/>
        <v>B</v>
      </c>
    </row>
    <row r="77" spans="1:7">
      <c r="A77" s="3" t="s">
        <v>242</v>
      </c>
      <c r="B77" s="3" t="s">
        <v>244</v>
      </c>
      <c r="C77" s="3">
        <v>11314</v>
      </c>
      <c r="D77" s="13">
        <v>49544458.56</v>
      </c>
      <c r="E77" s="12">
        <f>RANK(D77,$D$2:$D$151)</f>
        <v>42</v>
      </c>
      <c r="F77" s="14">
        <f>SUMPRODUCT(($E$2:$E$151&lt;=E77)*$D$2:$D$151)/SUM($D$2:$D$151)</f>
        <v>0.689645952237791</v>
      </c>
      <c r="G77" s="12" t="str">
        <f t="shared" si="1"/>
        <v>A</v>
      </c>
    </row>
    <row r="78" spans="1:7">
      <c r="A78" s="3" t="s">
        <v>245</v>
      </c>
      <c r="B78" s="3" t="s">
        <v>244</v>
      </c>
      <c r="C78" s="3">
        <v>13098</v>
      </c>
      <c r="D78" s="13">
        <v>44624886</v>
      </c>
      <c r="E78" s="12">
        <f>RANK(D78,$D$2:$D$151)</f>
        <v>47</v>
      </c>
      <c r="F78" s="14">
        <f>SUMPRODUCT(($E$2:$E$151&lt;=E78)*$D$2:$D$151)/SUM($D$2:$D$151)</f>
        <v>0.725868337246462</v>
      </c>
      <c r="G78" s="12" t="str">
        <f t="shared" si="1"/>
        <v>A</v>
      </c>
    </row>
    <row r="79" spans="1:7">
      <c r="A79" s="3" t="s">
        <v>247</v>
      </c>
      <c r="B79" s="3" t="s">
        <v>244</v>
      </c>
      <c r="C79" s="3">
        <v>2816</v>
      </c>
      <c r="D79" s="13">
        <v>6219586.56</v>
      </c>
      <c r="E79" s="12">
        <f>RANK(D79,$D$2:$D$151)</f>
        <v>131</v>
      </c>
      <c r="F79" s="14">
        <f>SUMPRODUCT(($E$2:$E$151&lt;=E79)*$D$2:$D$151)/SUM($D$2:$D$151)</f>
        <v>0.988758124766554</v>
      </c>
      <c r="G79" s="12" t="str">
        <f t="shared" si="1"/>
        <v>C</v>
      </c>
    </row>
    <row r="80" spans="1:7">
      <c r="A80" s="3" t="s">
        <v>249</v>
      </c>
      <c r="B80" s="3" t="s">
        <v>244</v>
      </c>
      <c r="C80" s="3">
        <v>3341</v>
      </c>
      <c r="D80" s="13">
        <v>8640293.74</v>
      </c>
      <c r="E80" s="12">
        <f>RANK(D80,$D$2:$D$151)</f>
        <v>119</v>
      </c>
      <c r="F80" s="14">
        <f>SUMPRODUCT(($E$2:$E$151&lt;=E80)*$D$2:$D$151)/SUM($D$2:$D$151)</f>
        <v>0.974874418114287</v>
      </c>
      <c r="G80" s="12" t="str">
        <f t="shared" si="1"/>
        <v>C</v>
      </c>
    </row>
    <row r="81" spans="1:7">
      <c r="A81" s="3" t="s">
        <v>251</v>
      </c>
      <c r="B81" s="3" t="s">
        <v>244</v>
      </c>
      <c r="C81" s="3">
        <v>9846</v>
      </c>
      <c r="D81" s="13">
        <v>4740356.7</v>
      </c>
      <c r="E81" s="12">
        <f>RANK(D81,$D$2:$D$151)</f>
        <v>136</v>
      </c>
      <c r="F81" s="14">
        <f>SUMPRODUCT(($E$2:$E$151&lt;=E81)*$D$2:$D$151)/SUM($D$2:$D$151)</f>
        <v>0.992828450950288</v>
      </c>
      <c r="G81" s="12" t="str">
        <f t="shared" si="1"/>
        <v>C</v>
      </c>
    </row>
    <row r="82" spans="1:7">
      <c r="A82" s="3" t="s">
        <v>254</v>
      </c>
      <c r="B82" s="3" t="s">
        <v>244</v>
      </c>
      <c r="C82" s="3">
        <v>12760</v>
      </c>
      <c r="D82" s="13">
        <v>19896668</v>
      </c>
      <c r="E82" s="12">
        <f>RANK(D82,$D$2:$D$151)</f>
        <v>91</v>
      </c>
      <c r="F82" s="14">
        <f>SUMPRODUCT(($E$2:$E$151&lt;=E82)*$D$2:$D$151)/SUM($D$2:$D$151)</f>
        <v>0.914528183911709</v>
      </c>
      <c r="G82" s="12" t="str">
        <f t="shared" si="1"/>
        <v>B</v>
      </c>
    </row>
    <row r="83" spans="1:7">
      <c r="A83" s="3" t="s">
        <v>256</v>
      </c>
      <c r="B83" s="3" t="s">
        <v>244</v>
      </c>
      <c r="C83" s="3">
        <v>4840</v>
      </c>
      <c r="D83" s="13">
        <v>26105411.2</v>
      </c>
      <c r="E83" s="12">
        <f>RANK(D83,$D$2:$D$151)</f>
        <v>74</v>
      </c>
      <c r="F83" s="14">
        <f>SUMPRODUCT(($E$2:$E$151&lt;=E83)*$D$2:$D$151)/SUM($D$2:$D$151)</f>
        <v>0.856371950552961</v>
      </c>
      <c r="G83" s="12" t="str">
        <f t="shared" si="1"/>
        <v>B</v>
      </c>
    </row>
    <row r="84" spans="1:7">
      <c r="A84" s="3" t="s">
        <v>258</v>
      </c>
      <c r="B84" s="3" t="s">
        <v>244</v>
      </c>
      <c r="C84" s="3">
        <v>13115</v>
      </c>
      <c r="D84" s="13">
        <v>32803893.75</v>
      </c>
      <c r="E84" s="12">
        <f>RANK(D84,$D$2:$D$151)</f>
        <v>55</v>
      </c>
      <c r="F84" s="14">
        <f>SUMPRODUCT(($E$2:$E$151&lt;=E84)*$D$2:$D$151)/SUM($D$2:$D$151)</f>
        <v>0.773130343862959</v>
      </c>
      <c r="G84" s="12" t="str">
        <f t="shared" si="1"/>
        <v>A</v>
      </c>
    </row>
    <row r="85" spans="1:7">
      <c r="A85" s="3" t="s">
        <v>260</v>
      </c>
      <c r="B85" s="3" t="s">
        <v>244</v>
      </c>
      <c r="C85" s="3">
        <v>6369</v>
      </c>
      <c r="D85" s="13">
        <v>31094094.9</v>
      </c>
      <c r="E85" s="12">
        <f>RANK(D85,$D$2:$D$151)</f>
        <v>57</v>
      </c>
      <c r="F85" s="14">
        <f>SUMPRODUCT(($E$2:$E$151&lt;=E85)*$D$2:$D$151)/SUM($D$2:$D$151)</f>
        <v>0.782912527598238</v>
      </c>
      <c r="G85" s="12" t="str">
        <f t="shared" si="1"/>
        <v>A</v>
      </c>
    </row>
    <row r="86" spans="1:7">
      <c r="A86" s="3" t="s">
        <v>262</v>
      </c>
      <c r="B86" s="3" t="s">
        <v>244</v>
      </c>
      <c r="C86" s="3">
        <v>6534</v>
      </c>
      <c r="D86" s="13">
        <v>27861694.74</v>
      </c>
      <c r="E86" s="12">
        <f>RANK(D86,$D$2:$D$151)</f>
        <v>67</v>
      </c>
      <c r="F86" s="14">
        <f>SUMPRODUCT(($E$2:$E$151&lt;=E86)*$D$2:$D$151)/SUM($D$2:$D$151)</f>
        <v>0.827470237351131</v>
      </c>
      <c r="G86" s="12" t="str">
        <f t="shared" si="1"/>
        <v>B</v>
      </c>
    </row>
    <row r="87" spans="1:7">
      <c r="A87" s="3" t="s">
        <v>264</v>
      </c>
      <c r="B87" s="3" t="s">
        <v>244</v>
      </c>
      <c r="C87" s="3">
        <v>7986</v>
      </c>
      <c r="D87" s="13">
        <v>10944653.28</v>
      </c>
      <c r="E87" s="12">
        <f>RANK(D87,$D$2:$D$151)</f>
        <v>114</v>
      </c>
      <c r="F87" s="14">
        <f>SUMPRODUCT(($E$2:$E$151&lt;=E87)*$D$2:$D$151)/SUM($D$2:$D$151)</f>
        <v>0.967403807179726</v>
      </c>
      <c r="G87" s="12" t="str">
        <f t="shared" si="1"/>
        <v>C</v>
      </c>
    </row>
    <row r="88" spans="1:7">
      <c r="A88" s="3" t="s">
        <v>266</v>
      </c>
      <c r="B88" s="3" t="s">
        <v>244</v>
      </c>
      <c r="C88" s="3">
        <v>13141</v>
      </c>
      <c r="D88" s="13">
        <v>43837981.77</v>
      </c>
      <c r="E88" s="12">
        <f>RANK(D88,$D$2:$D$151)</f>
        <v>48</v>
      </c>
      <c r="F88" s="14">
        <f>SUMPRODUCT(($E$2:$E$151&lt;=E88)*$D$2:$D$151)/SUM($D$2:$D$151)</f>
        <v>0.732650459641366</v>
      </c>
      <c r="G88" s="12" t="str">
        <f t="shared" si="1"/>
        <v>A</v>
      </c>
    </row>
    <row r="89" spans="1:7">
      <c r="A89" s="3" t="s">
        <v>269</v>
      </c>
      <c r="B89" s="3" t="s">
        <v>244</v>
      </c>
      <c r="C89" s="3">
        <v>5738</v>
      </c>
      <c r="D89" s="13">
        <v>20802086.16</v>
      </c>
      <c r="E89" s="12">
        <f>RANK(D89,$D$2:$D$151)</f>
        <v>87</v>
      </c>
      <c r="F89" s="14">
        <f>SUMPRODUCT(($E$2:$E$151&lt;=E89)*$D$2:$D$151)/SUM($D$2:$D$151)</f>
        <v>0.902065791511555</v>
      </c>
      <c r="G89" s="12" t="str">
        <f t="shared" si="1"/>
        <v>B</v>
      </c>
    </row>
    <row r="90" spans="1:7">
      <c r="A90" s="3" t="s">
        <v>272</v>
      </c>
      <c r="B90" s="3" t="s">
        <v>244</v>
      </c>
      <c r="C90" s="3">
        <v>12997</v>
      </c>
      <c r="D90" s="13">
        <v>44912953.08</v>
      </c>
      <c r="E90" s="12">
        <f>RANK(D90,$D$2:$D$151)</f>
        <v>46</v>
      </c>
      <c r="F90" s="14">
        <f>SUMPRODUCT(($E$2:$E$151&lt;=E90)*$D$2:$D$151)/SUM($D$2:$D$151)</f>
        <v>0.718964473827327</v>
      </c>
      <c r="G90" s="12" t="str">
        <f t="shared" si="1"/>
        <v>A</v>
      </c>
    </row>
    <row r="91" spans="1:7">
      <c r="A91" s="3" t="s">
        <v>275</v>
      </c>
      <c r="B91" s="3" t="s">
        <v>244</v>
      </c>
      <c r="C91" s="3">
        <v>4873</v>
      </c>
      <c r="D91" s="13">
        <v>26478956.13</v>
      </c>
      <c r="E91" s="12">
        <f>RANK(D91,$D$2:$D$151)</f>
        <v>72</v>
      </c>
      <c r="F91" s="14">
        <f>SUMPRODUCT(($E$2:$E$151&lt;=E91)*$D$2:$D$151)/SUM($D$2:$D$151)</f>
        <v>0.848258268976183</v>
      </c>
      <c r="G91" s="12" t="str">
        <f t="shared" si="1"/>
        <v>B</v>
      </c>
    </row>
    <row r="92" spans="1:7">
      <c r="A92" s="3" t="s">
        <v>278</v>
      </c>
      <c r="B92" s="3" t="s">
        <v>244</v>
      </c>
      <c r="C92" s="3">
        <v>2343</v>
      </c>
      <c r="D92" s="13">
        <v>7433987.55</v>
      </c>
      <c r="E92" s="12">
        <f>RANK(D92,$D$2:$D$151)</f>
        <v>124</v>
      </c>
      <c r="F92" s="14">
        <f>SUMPRODUCT(($E$2:$E$151&lt;=E92)*$D$2:$D$151)/SUM($D$2:$D$151)</f>
        <v>0.981208779939556</v>
      </c>
      <c r="G92" s="12" t="str">
        <f t="shared" si="1"/>
        <v>C</v>
      </c>
    </row>
    <row r="93" spans="1:7">
      <c r="A93" s="3" t="s">
        <v>280</v>
      </c>
      <c r="B93" s="3" t="s">
        <v>244</v>
      </c>
      <c r="C93" s="3">
        <v>8370</v>
      </c>
      <c r="D93" s="13">
        <v>4846899.6</v>
      </c>
      <c r="E93" s="12">
        <f>RANK(D93,$D$2:$D$151)</f>
        <v>135</v>
      </c>
      <c r="F93" s="14">
        <f>SUMPRODUCT(($E$2:$E$151&lt;=E93)*$D$2:$D$151)/SUM($D$2:$D$151)</f>
        <v>0.992095075962736</v>
      </c>
      <c r="G93" s="12" t="str">
        <f t="shared" si="1"/>
        <v>C</v>
      </c>
    </row>
    <row r="94" spans="1:7">
      <c r="A94" s="3" t="s">
        <v>282</v>
      </c>
      <c r="B94" s="3" t="s">
        <v>244</v>
      </c>
      <c r="C94" s="3">
        <v>4539</v>
      </c>
      <c r="D94" s="13">
        <v>2496767.73</v>
      </c>
      <c r="E94" s="12">
        <f>RANK(D94,$D$2:$D$151)</f>
        <v>147</v>
      </c>
      <c r="F94" s="14">
        <f>SUMPRODUCT(($E$2:$E$151&lt;=E94)*$D$2:$D$151)/SUM($D$2:$D$151)</f>
        <v>0.999181335114112</v>
      </c>
      <c r="G94" s="12" t="str">
        <f t="shared" si="1"/>
        <v>C</v>
      </c>
    </row>
    <row r="95" spans="1:7">
      <c r="A95" s="3" t="s">
        <v>285</v>
      </c>
      <c r="B95" s="3" t="s">
        <v>244</v>
      </c>
      <c r="C95" s="3">
        <v>9172</v>
      </c>
      <c r="D95" s="13">
        <v>47722191.16</v>
      </c>
      <c r="E95" s="12">
        <f>RANK(D95,$D$2:$D$151)</f>
        <v>44</v>
      </c>
      <c r="F95" s="14">
        <f>SUMPRODUCT(($E$2:$E$151&lt;=E95)*$D$2:$D$151)/SUM($D$2:$D$151)</f>
        <v>0.704688391958903</v>
      </c>
      <c r="G95" s="12" t="str">
        <f t="shared" si="1"/>
        <v>A</v>
      </c>
    </row>
    <row r="96" spans="1:7">
      <c r="A96" s="3" t="s">
        <v>288</v>
      </c>
      <c r="B96" s="3" t="s">
        <v>244</v>
      </c>
      <c r="C96" s="3">
        <v>5551</v>
      </c>
      <c r="D96" s="13">
        <v>9486770.02</v>
      </c>
      <c r="E96" s="12">
        <f>RANK(D96,$D$2:$D$151)</f>
        <v>118</v>
      </c>
      <c r="F96" s="14">
        <f>SUMPRODUCT(($E$2:$E$151&lt;=E96)*$D$2:$D$151)/SUM($D$2:$D$151)</f>
        <v>0.973537688472397</v>
      </c>
      <c r="G96" s="12" t="str">
        <f t="shared" si="1"/>
        <v>C</v>
      </c>
    </row>
    <row r="97" spans="1:7">
      <c r="A97" s="3" t="s">
        <v>290</v>
      </c>
      <c r="B97" s="3" t="s">
        <v>244</v>
      </c>
      <c r="C97" s="3">
        <v>11006</v>
      </c>
      <c r="D97" s="13">
        <v>5290584.2</v>
      </c>
      <c r="E97" s="12">
        <f>RANK(D97,$D$2:$D$151)</f>
        <v>134</v>
      </c>
      <c r="F97" s="14">
        <f>SUMPRODUCT(($E$2:$E$151&lt;=E97)*$D$2:$D$151)/SUM($D$2:$D$151)</f>
        <v>0.991345217848932</v>
      </c>
      <c r="G97" s="12" t="str">
        <f t="shared" si="1"/>
        <v>C</v>
      </c>
    </row>
    <row r="98" spans="1:7">
      <c r="A98" s="3" t="s">
        <v>292</v>
      </c>
      <c r="B98" s="3" t="s">
        <v>244</v>
      </c>
      <c r="C98" s="3">
        <v>2613</v>
      </c>
      <c r="D98" s="13">
        <v>660331.23</v>
      </c>
      <c r="E98" s="12">
        <f>RANK(D98,$D$2:$D$151)</f>
        <v>150</v>
      </c>
      <c r="F98" s="14">
        <f>SUMPRODUCT(($E$2:$E$151&lt;=E98)*$D$2:$D$151)/SUM($D$2:$D$151)</f>
        <v>1</v>
      </c>
      <c r="G98" s="12" t="str">
        <f t="shared" si="1"/>
        <v>C</v>
      </c>
    </row>
    <row r="99" spans="1:7">
      <c r="A99" s="3" t="s">
        <v>294</v>
      </c>
      <c r="B99" s="3" t="s">
        <v>244</v>
      </c>
      <c r="C99" s="3">
        <v>12671</v>
      </c>
      <c r="D99" s="13">
        <v>64947998.12</v>
      </c>
      <c r="E99" s="12">
        <f>RANK(D99,$D$2:$D$151)</f>
        <v>27</v>
      </c>
      <c r="F99" s="14">
        <f>SUMPRODUCT(($E$2:$E$151&lt;=E99)*$D$2:$D$151)/SUM($D$2:$D$151)</f>
        <v>0.561776739868084</v>
      </c>
      <c r="G99" s="12" t="str">
        <f t="shared" si="1"/>
        <v>A</v>
      </c>
    </row>
    <row r="100" spans="1:7">
      <c r="A100" s="3" t="s">
        <v>296</v>
      </c>
      <c r="B100" s="3" t="s">
        <v>244</v>
      </c>
      <c r="C100" s="3">
        <v>8208</v>
      </c>
      <c r="D100" s="13">
        <v>13737975.84</v>
      </c>
      <c r="E100" s="12">
        <f>RANK(D100,$D$2:$D$151)</f>
        <v>105</v>
      </c>
      <c r="F100" s="14">
        <f>SUMPRODUCT(($E$2:$E$151&lt;=E100)*$D$2:$D$151)/SUM($D$2:$D$151)</f>
        <v>0.950726062085774</v>
      </c>
      <c r="G100" s="12" t="str">
        <f t="shared" si="1"/>
        <v>C</v>
      </c>
    </row>
    <row r="101" spans="1:7">
      <c r="A101" s="3" t="s">
        <v>298</v>
      </c>
      <c r="B101" s="3" t="s">
        <v>244</v>
      </c>
      <c r="C101" s="3">
        <v>7227</v>
      </c>
      <c r="D101" s="13">
        <v>26618920.02</v>
      </c>
      <c r="E101" s="12">
        <f>RANK(D101,$D$2:$D$151)</f>
        <v>71</v>
      </c>
      <c r="F101" s="14">
        <f>SUMPRODUCT(($E$2:$E$151&lt;=E101)*$D$2:$D$151)/SUM($D$2:$D$151)</f>
        <v>0.844161740940172</v>
      </c>
      <c r="G101" s="12" t="str">
        <f t="shared" si="1"/>
        <v>B</v>
      </c>
    </row>
    <row r="102" spans="1:7">
      <c r="A102" s="3" t="s">
        <v>300</v>
      </c>
      <c r="B102" s="3" t="s">
        <v>244</v>
      </c>
      <c r="C102" s="3">
        <v>10514</v>
      </c>
      <c r="D102" s="13">
        <v>3253031.6</v>
      </c>
      <c r="E102" s="12">
        <f>RANK(D102,$D$2:$D$151)</f>
        <v>145</v>
      </c>
      <c r="F102" s="14">
        <f>SUMPRODUCT(($E$2:$E$151&lt;=E102)*$D$2:$D$151)/SUM($D$2:$D$151)</f>
        <v>0.998342708543794</v>
      </c>
      <c r="G102" s="12" t="str">
        <f t="shared" si="1"/>
        <v>C</v>
      </c>
    </row>
    <row r="103" spans="1:7">
      <c r="A103" s="3" t="s">
        <v>303</v>
      </c>
      <c r="B103" s="3" t="s">
        <v>244</v>
      </c>
      <c r="C103" s="3">
        <v>10788</v>
      </c>
      <c r="D103" s="13">
        <v>10032300.6</v>
      </c>
      <c r="E103" s="12">
        <f>RANK(D103,$D$2:$D$151)</f>
        <v>116</v>
      </c>
      <c r="F103" s="14">
        <f>SUMPRODUCT(($E$2:$E$151&lt;=E103)*$D$2:$D$151)/SUM($D$2:$D$151)</f>
        <v>0.970552202766604</v>
      </c>
      <c r="G103" s="12" t="str">
        <f t="shared" si="1"/>
        <v>C</v>
      </c>
    </row>
    <row r="104" spans="1:7">
      <c r="A104" s="3" t="s">
        <v>306</v>
      </c>
      <c r="B104" s="3" t="s">
        <v>244</v>
      </c>
      <c r="C104" s="3">
        <v>3353</v>
      </c>
      <c r="D104" s="13">
        <v>19980158.17</v>
      </c>
      <c r="E104" s="12">
        <f>RANK(D104,$D$2:$D$151)</f>
        <v>90</v>
      </c>
      <c r="F104" s="14">
        <f>SUMPRODUCT(($E$2:$E$151&lt;=E104)*$D$2:$D$151)/SUM($D$2:$D$151)</f>
        <v>0.911449993899797</v>
      </c>
      <c r="G104" s="12" t="str">
        <f t="shared" si="1"/>
        <v>B</v>
      </c>
    </row>
    <row r="105" spans="1:7">
      <c r="A105" s="3" t="s">
        <v>309</v>
      </c>
      <c r="B105" s="3" t="s">
        <v>244</v>
      </c>
      <c r="C105" s="3">
        <v>9743</v>
      </c>
      <c r="D105" s="13">
        <v>35537495.07</v>
      </c>
      <c r="E105" s="12">
        <f>RANK(D105,$D$2:$D$151)</f>
        <v>53</v>
      </c>
      <c r="F105" s="14">
        <f>SUMPRODUCT(($E$2:$E$151&lt;=E105)*$D$2:$D$151)/SUM($D$2:$D$151)</f>
        <v>0.762761860353882</v>
      </c>
      <c r="G105" s="12" t="str">
        <f t="shared" si="1"/>
        <v>A</v>
      </c>
    </row>
    <row r="106" spans="1:7">
      <c r="A106" s="3" t="s">
        <v>311</v>
      </c>
      <c r="B106" s="3" t="s">
        <v>244</v>
      </c>
      <c r="C106" s="3">
        <v>9456</v>
      </c>
      <c r="D106" s="13">
        <v>49809952.8</v>
      </c>
      <c r="E106" s="12">
        <f>RANK(D106,$D$2:$D$151)</f>
        <v>41</v>
      </c>
      <c r="F106" s="14">
        <f>SUMPRODUCT(($E$2:$E$151&lt;=E106)*$D$2:$D$151)/SUM($D$2:$D$151)</f>
        <v>0.681980987557025</v>
      </c>
      <c r="G106" s="12" t="str">
        <f t="shared" si="1"/>
        <v>A</v>
      </c>
    </row>
    <row r="107" spans="1:7">
      <c r="A107" s="3" t="s">
        <v>314</v>
      </c>
      <c r="B107" s="3" t="s">
        <v>316</v>
      </c>
      <c r="C107" s="3">
        <v>11031</v>
      </c>
      <c r="D107" s="13">
        <v>21170805.51</v>
      </c>
      <c r="E107" s="12">
        <f>RANK(D107,$D$2:$D$151)</f>
        <v>85</v>
      </c>
      <c r="F107" s="14">
        <f>SUMPRODUCT(($E$2:$E$151&lt;=E107)*$D$2:$D$151)/SUM($D$2:$D$151)</f>
        <v>0.895616694652478</v>
      </c>
      <c r="G107" s="12" t="str">
        <f t="shared" si="1"/>
        <v>B</v>
      </c>
    </row>
    <row r="108" spans="1:7">
      <c r="A108" s="3" t="s">
        <v>317</v>
      </c>
      <c r="B108" s="3" t="s">
        <v>316</v>
      </c>
      <c r="C108" s="3">
        <v>18754</v>
      </c>
      <c r="D108" s="13">
        <v>20218874.94</v>
      </c>
      <c r="E108" s="12">
        <f>RANK(D108,$D$2:$D$151)</f>
        <v>89</v>
      </c>
      <c r="F108" s="14">
        <f>SUMPRODUCT(($E$2:$E$151&lt;=E108)*$D$2:$D$151)/SUM($D$2:$D$151)</f>
        <v>0.908358887222272</v>
      </c>
      <c r="G108" s="12" t="str">
        <f t="shared" si="1"/>
        <v>B</v>
      </c>
    </row>
    <row r="109" spans="1:7">
      <c r="A109" s="3" t="s">
        <v>320</v>
      </c>
      <c r="B109" s="3" t="s">
        <v>316</v>
      </c>
      <c r="C109" s="3">
        <v>19355</v>
      </c>
      <c r="D109" s="13">
        <v>11185254.5</v>
      </c>
      <c r="E109" s="12">
        <f>RANK(D109,$D$2:$D$151)</f>
        <v>113</v>
      </c>
      <c r="F109" s="14">
        <f>SUMPRODUCT(($E$2:$E$151&lt;=E109)*$D$2:$D$151)/SUM($D$2:$D$151)</f>
        <v>0.965710572794434</v>
      </c>
      <c r="G109" s="12" t="str">
        <f t="shared" si="1"/>
        <v>C</v>
      </c>
    </row>
    <row r="110" spans="1:7">
      <c r="A110" s="3" t="s">
        <v>322</v>
      </c>
      <c r="B110" s="3" t="s">
        <v>316</v>
      </c>
      <c r="C110" s="3">
        <v>15869</v>
      </c>
      <c r="D110" s="13">
        <v>21262079.65</v>
      </c>
      <c r="E110" s="12">
        <f>RANK(D110,$D$2:$D$151)</f>
        <v>84</v>
      </c>
      <c r="F110" s="14">
        <f>SUMPRODUCT(($E$2:$E$151&lt;=E110)*$D$2:$D$151)/SUM($D$2:$D$151)</f>
        <v>0.892341384330921</v>
      </c>
      <c r="G110" s="12" t="str">
        <f t="shared" si="1"/>
        <v>B</v>
      </c>
    </row>
    <row r="111" spans="1:7">
      <c r="A111" s="3" t="s">
        <v>324</v>
      </c>
      <c r="B111" s="3" t="s">
        <v>316</v>
      </c>
      <c r="C111" s="3">
        <v>7043</v>
      </c>
      <c r="D111" s="13">
        <v>14187630.49</v>
      </c>
      <c r="E111" s="12">
        <f>RANK(D111,$D$2:$D$151)</f>
        <v>103</v>
      </c>
      <c r="F111" s="14">
        <f>SUMPRODUCT(($E$2:$E$151&lt;=E111)*$D$2:$D$151)/SUM($D$2:$D$151)</f>
        <v>0.946445893841326</v>
      </c>
      <c r="G111" s="12" t="str">
        <f t="shared" si="1"/>
        <v>B</v>
      </c>
    </row>
    <row r="112" spans="1:7">
      <c r="A112" s="3" t="s">
        <v>326</v>
      </c>
      <c r="B112" s="3" t="s">
        <v>316</v>
      </c>
      <c r="C112" s="3">
        <v>10735</v>
      </c>
      <c r="D112" s="13">
        <v>19595132.25</v>
      </c>
      <c r="E112" s="12">
        <f>RANK(D112,$D$2:$D$151)</f>
        <v>92</v>
      </c>
      <c r="F112" s="14">
        <f>SUMPRODUCT(($E$2:$E$151&lt;=E112)*$D$2:$D$151)/SUM($D$2:$D$151)</f>
        <v>0.917559723683796</v>
      </c>
      <c r="G112" s="12" t="str">
        <f t="shared" si="1"/>
        <v>B</v>
      </c>
    </row>
    <row r="113" spans="1:7">
      <c r="A113" s="3" t="s">
        <v>328</v>
      </c>
      <c r="B113" s="3" t="s">
        <v>316</v>
      </c>
      <c r="C113" s="3">
        <v>7801</v>
      </c>
      <c r="D113" s="13">
        <v>18284919.92</v>
      </c>
      <c r="E113" s="12">
        <f>RANK(D113,$D$2:$D$151)</f>
        <v>96</v>
      </c>
      <c r="F113" s="14">
        <f>SUMPRODUCT(($E$2:$E$151&lt;=E113)*$D$2:$D$151)/SUM($D$2:$D$151)</f>
        <v>0.929176587684014</v>
      </c>
      <c r="G113" s="12" t="str">
        <f t="shared" si="1"/>
        <v>B</v>
      </c>
    </row>
    <row r="114" spans="1:7">
      <c r="A114" s="3" t="s">
        <v>331</v>
      </c>
      <c r="B114" s="3" t="s">
        <v>316</v>
      </c>
      <c r="C114" s="3">
        <v>8021</v>
      </c>
      <c r="D114" s="13">
        <v>7329188.75</v>
      </c>
      <c r="E114" s="12">
        <f>RANK(D114,$D$2:$D$151)</f>
        <v>128</v>
      </c>
      <c r="F114" s="14">
        <f>SUMPRODUCT(($E$2:$E$151&lt;=E114)*$D$2:$D$151)/SUM($D$2:$D$151)</f>
        <v>0.985771022160214</v>
      </c>
      <c r="G114" s="12" t="str">
        <f t="shared" si="1"/>
        <v>C</v>
      </c>
    </row>
    <row r="115" spans="1:7">
      <c r="A115" s="3" t="s">
        <v>334</v>
      </c>
      <c r="B115" s="3" t="s">
        <v>316</v>
      </c>
      <c r="C115" s="3">
        <v>8456</v>
      </c>
      <c r="D115" s="13">
        <v>11431074.48</v>
      </c>
      <c r="E115" s="12">
        <f>RANK(D115,$D$2:$D$151)</f>
        <v>111</v>
      </c>
      <c r="F115" s="14">
        <f>SUMPRODUCT(($E$2:$E$151&lt;=E115)*$D$2:$D$151)/SUM($D$2:$D$151)</f>
        <v>0.96223202863229</v>
      </c>
      <c r="G115" s="12" t="str">
        <f t="shared" si="1"/>
        <v>C</v>
      </c>
    </row>
    <row r="116" spans="1:7">
      <c r="A116" s="3" t="s">
        <v>337</v>
      </c>
      <c r="B116" s="3" t="s">
        <v>316</v>
      </c>
      <c r="C116" s="3">
        <v>9676</v>
      </c>
      <c r="D116" s="13">
        <v>3528450.16</v>
      </c>
      <c r="E116" s="12">
        <f>RANK(D116,$D$2:$D$151)</f>
        <v>142</v>
      </c>
      <c r="F116" s="14">
        <f>SUMPRODUCT(($E$2:$E$151&lt;=E116)*$D$2:$D$151)/SUM($D$2:$D$151)</f>
        <v>0.9967881868191</v>
      </c>
      <c r="G116" s="12" t="str">
        <f t="shared" si="1"/>
        <v>C</v>
      </c>
    </row>
    <row r="117" spans="1:7">
      <c r="A117" s="3" t="s">
        <v>339</v>
      </c>
      <c r="B117" s="3" t="s">
        <v>316</v>
      </c>
      <c r="C117" s="3">
        <v>9069</v>
      </c>
      <c r="D117" s="13">
        <v>2461054.53</v>
      </c>
      <c r="E117" s="12">
        <f>RANK(D117,$D$2:$D$151)</f>
        <v>148</v>
      </c>
      <c r="F117" s="14">
        <f>SUMPRODUCT(($E$2:$E$151&lt;=E117)*$D$2:$D$151)/SUM($D$2:$D$151)</f>
        <v>0.999562081954388</v>
      </c>
      <c r="G117" s="12" t="str">
        <f t="shared" si="1"/>
        <v>C</v>
      </c>
    </row>
    <row r="118" spans="1:7">
      <c r="A118" s="3" t="s">
        <v>341</v>
      </c>
      <c r="B118" s="3" t="s">
        <v>316</v>
      </c>
      <c r="C118" s="3">
        <v>8067</v>
      </c>
      <c r="D118" s="13">
        <v>11299204.89</v>
      </c>
      <c r="E118" s="12">
        <f>RANK(D118,$D$2:$D$151)</f>
        <v>112</v>
      </c>
      <c r="F118" s="14">
        <f>SUMPRODUCT(($E$2:$E$151&lt;=E118)*$D$2:$D$151)/SUM($D$2:$D$151)</f>
        <v>0.963980115278503</v>
      </c>
      <c r="G118" s="12" t="str">
        <f t="shared" si="1"/>
        <v>C</v>
      </c>
    </row>
    <row r="119" spans="1:7">
      <c r="A119" s="3" t="s">
        <v>344</v>
      </c>
      <c r="B119" s="3" t="s">
        <v>316</v>
      </c>
      <c r="C119" s="3">
        <v>16864</v>
      </c>
      <c r="D119" s="13">
        <v>18055441.6</v>
      </c>
      <c r="E119" s="12">
        <f>RANK(D119,$D$2:$D$151)</f>
        <v>97</v>
      </c>
      <c r="F119" s="14">
        <f>SUMPRODUCT(($E$2:$E$151&lt;=E119)*$D$2:$D$151)/SUM($D$2:$D$151)</f>
        <v>0.931969923733736</v>
      </c>
      <c r="G119" s="12" t="str">
        <f t="shared" si="1"/>
        <v>B</v>
      </c>
    </row>
    <row r="120" spans="1:7">
      <c r="A120" s="3" t="s">
        <v>347</v>
      </c>
      <c r="B120" s="3" t="s">
        <v>316</v>
      </c>
      <c r="C120" s="3">
        <v>11148</v>
      </c>
      <c r="D120" s="13">
        <v>23751371.4</v>
      </c>
      <c r="E120" s="12">
        <f>RANK(D120,$D$2:$D$151)</f>
        <v>79</v>
      </c>
      <c r="F120" s="14">
        <f>SUMPRODUCT(($E$2:$E$151&lt;=E120)*$D$2:$D$151)/SUM($D$2:$D$151)</f>
        <v>0.875281284043809</v>
      </c>
      <c r="G120" s="12" t="str">
        <f t="shared" si="1"/>
        <v>B</v>
      </c>
    </row>
    <row r="121" spans="1:7">
      <c r="A121" s="3" t="s">
        <v>349</v>
      </c>
      <c r="B121" s="3" t="s">
        <v>316</v>
      </c>
      <c r="C121" s="3">
        <v>13059</v>
      </c>
      <c r="D121" s="13">
        <v>28703420.82</v>
      </c>
      <c r="E121" s="12">
        <f>RANK(D121,$D$2:$D$151)</f>
        <v>62</v>
      </c>
      <c r="F121" s="14">
        <f>SUMPRODUCT(($E$2:$E$151&lt;=E121)*$D$2:$D$151)/SUM($D$2:$D$151)</f>
        <v>0.8057790387269</v>
      </c>
      <c r="G121" s="12" t="str">
        <f t="shared" si="1"/>
        <v>B</v>
      </c>
    </row>
    <row r="122" spans="1:7">
      <c r="A122" s="3" t="s">
        <v>351</v>
      </c>
      <c r="B122" s="3" t="s">
        <v>316</v>
      </c>
      <c r="C122" s="3">
        <v>12783</v>
      </c>
      <c r="D122" s="13">
        <v>28508263.11</v>
      </c>
      <c r="E122" s="12">
        <f>RANK(D122,$D$2:$D$151)</f>
        <v>63</v>
      </c>
      <c r="F122" s="14">
        <f>SUMPRODUCT(($E$2:$E$151&lt;=E122)*$D$2:$D$151)/SUM($D$2:$D$151)</f>
        <v>0.810189518449542</v>
      </c>
      <c r="G122" s="12" t="str">
        <f t="shared" si="1"/>
        <v>B</v>
      </c>
    </row>
    <row r="123" spans="1:7">
      <c r="A123" s="3" t="s">
        <v>353</v>
      </c>
      <c r="B123" s="3" t="s">
        <v>316</v>
      </c>
      <c r="C123" s="3">
        <v>11234</v>
      </c>
      <c r="D123" s="13">
        <v>4500228.06</v>
      </c>
      <c r="E123" s="12">
        <f>RANK(D123,$D$2:$D$151)</f>
        <v>139</v>
      </c>
      <c r="F123" s="14">
        <f>SUMPRODUCT(($E$2:$E$151&lt;=E123)*$D$2:$D$151)/SUM($D$2:$D$151)</f>
        <v>0.994978608485523</v>
      </c>
      <c r="G123" s="12" t="str">
        <f t="shared" si="1"/>
        <v>C</v>
      </c>
    </row>
    <row r="124" spans="1:7">
      <c r="A124" s="3" t="s">
        <v>355</v>
      </c>
      <c r="B124" s="3" t="s">
        <v>316</v>
      </c>
      <c r="C124" s="3">
        <v>5882</v>
      </c>
      <c r="D124" s="13">
        <v>4156456.48</v>
      </c>
      <c r="E124" s="12">
        <f>RANK(D124,$D$2:$D$151)</f>
        <v>140</v>
      </c>
      <c r="F124" s="14">
        <f>SUMPRODUCT(($E$2:$E$151&lt;=E124)*$D$2:$D$151)/SUM($D$2:$D$151)</f>
        <v>0.99562164895952</v>
      </c>
      <c r="G124" s="12" t="str">
        <f t="shared" si="1"/>
        <v>C</v>
      </c>
    </row>
    <row r="125" spans="1:7">
      <c r="A125" s="3" t="s">
        <v>358</v>
      </c>
      <c r="B125" s="3" t="s">
        <v>316</v>
      </c>
      <c r="C125" s="3">
        <v>19535</v>
      </c>
      <c r="D125" s="13">
        <v>26870978.55</v>
      </c>
      <c r="E125" s="12">
        <f>RANK(D125,$D$2:$D$151)</f>
        <v>70</v>
      </c>
      <c r="F125" s="14">
        <f>SUMPRODUCT(($E$2:$E$151&lt;=E125)*$D$2:$D$151)/SUM($D$2:$D$151)</f>
        <v>0.840043559256011</v>
      </c>
      <c r="G125" s="12" t="str">
        <f t="shared" si="1"/>
        <v>B</v>
      </c>
    </row>
    <row r="126" spans="1:7">
      <c r="A126" s="3" t="s">
        <v>361</v>
      </c>
      <c r="B126" s="3" t="s">
        <v>316</v>
      </c>
      <c r="C126" s="3">
        <v>9264</v>
      </c>
      <c r="D126" s="13">
        <v>8507409.12</v>
      </c>
      <c r="E126" s="12">
        <f>RANK(D126,$D$2:$D$151)</f>
        <v>121</v>
      </c>
      <c r="F126" s="14">
        <f>SUMPRODUCT(($E$2:$E$151&lt;=E126)*$D$2:$D$151)/SUM($D$2:$D$151)</f>
        <v>0.977526540044363</v>
      </c>
      <c r="G126" s="12" t="str">
        <f t="shared" si="1"/>
        <v>C</v>
      </c>
    </row>
    <row r="127" spans="1:7">
      <c r="A127" s="3" t="s">
        <v>364</v>
      </c>
      <c r="B127" s="3" t="s">
        <v>316</v>
      </c>
      <c r="C127" s="3">
        <v>14773</v>
      </c>
      <c r="D127" s="13">
        <v>34215449.84</v>
      </c>
      <c r="E127" s="12">
        <f>RANK(D127,$D$2:$D$151)</f>
        <v>54</v>
      </c>
      <c r="F127" s="14">
        <f>SUMPRODUCT(($E$2:$E$151&lt;=E127)*$D$2:$D$151)/SUM($D$2:$D$151)</f>
        <v>0.768055292196366</v>
      </c>
      <c r="G127" s="12" t="str">
        <f t="shared" si="1"/>
        <v>A</v>
      </c>
    </row>
    <row r="128" spans="1:7">
      <c r="A128" s="3" t="s">
        <v>367</v>
      </c>
      <c r="B128" s="3" t="s">
        <v>316</v>
      </c>
      <c r="C128" s="3">
        <v>10130</v>
      </c>
      <c r="D128" s="13">
        <v>4706195.4</v>
      </c>
      <c r="E128" s="12">
        <f>RANK(D128,$D$2:$D$151)</f>
        <v>137</v>
      </c>
      <c r="F128" s="14">
        <f>SUMPRODUCT(($E$2:$E$151&lt;=E128)*$D$2:$D$151)/SUM($D$2:$D$151)</f>
        <v>0.993556540883456</v>
      </c>
      <c r="G128" s="12" t="str">
        <f t="shared" si="1"/>
        <v>C</v>
      </c>
    </row>
    <row r="129" spans="1:7">
      <c r="A129" s="3" t="s">
        <v>369</v>
      </c>
      <c r="B129" s="3" t="s">
        <v>316</v>
      </c>
      <c r="C129" s="3">
        <v>19982</v>
      </c>
      <c r="D129" s="13">
        <v>30737711.14</v>
      </c>
      <c r="E129" s="12">
        <f>RANK(D129,$D$2:$D$151)</f>
        <v>59</v>
      </c>
      <c r="F129" s="14">
        <f>SUMPRODUCT(($E$2:$E$151&lt;=E129)*$D$2:$D$151)/SUM($D$2:$D$151)</f>
        <v>0.792430409173986</v>
      </c>
      <c r="G129" s="12" t="str">
        <f t="shared" si="1"/>
        <v>A</v>
      </c>
    </row>
    <row r="130" spans="1:7">
      <c r="A130" s="3" t="s">
        <v>372</v>
      </c>
      <c r="B130" s="3" t="s">
        <v>316</v>
      </c>
      <c r="C130" s="3">
        <v>20509</v>
      </c>
      <c r="D130" s="13">
        <v>4011765.49</v>
      </c>
      <c r="E130" s="12">
        <f>RANK(D130,$D$2:$D$151)</f>
        <v>141</v>
      </c>
      <c r="F130" s="14">
        <f>SUMPRODUCT(($E$2:$E$151&lt;=E130)*$D$2:$D$151)/SUM($D$2:$D$151)</f>
        <v>0.996242304461308</v>
      </c>
      <c r="G130" s="12" t="str">
        <f t="shared" ref="G130:G151" si="2">IF(F130&lt;=0.8,"A",IF(F130&lt;=0.95,"B","C"))</f>
        <v>C</v>
      </c>
    </row>
    <row r="131" spans="1:7">
      <c r="A131" s="3" t="s">
        <v>375</v>
      </c>
      <c r="B131" s="3" t="s">
        <v>316</v>
      </c>
      <c r="C131" s="3">
        <v>10548</v>
      </c>
      <c r="D131" s="13">
        <v>10318159.08</v>
      </c>
      <c r="E131" s="12">
        <f>RANK(D131,$D$2:$D$151)</f>
        <v>115</v>
      </c>
      <c r="F131" s="14">
        <f>SUMPRODUCT(($E$2:$E$151&lt;=E131)*$D$2:$D$151)/SUM($D$2:$D$151)</f>
        <v>0.969000117387111</v>
      </c>
      <c r="G131" s="12" t="str">
        <f t="shared" si="2"/>
        <v>C</v>
      </c>
    </row>
    <row r="132" spans="1:7">
      <c r="A132" s="3" t="s">
        <v>377</v>
      </c>
      <c r="B132" s="3" t="s">
        <v>379</v>
      </c>
      <c r="C132" s="3">
        <v>20227</v>
      </c>
      <c r="D132" s="13">
        <v>13425064.44</v>
      </c>
      <c r="E132" s="12">
        <f>RANK(D132,$D$2:$D$151)</f>
        <v>106</v>
      </c>
      <c r="F132" s="14">
        <f>SUMPRODUCT(($E$2:$E$151&lt;=E132)*$D$2:$D$151)/SUM($D$2:$D$151)</f>
        <v>0.952803037952711</v>
      </c>
      <c r="G132" s="12" t="str">
        <f t="shared" si="2"/>
        <v>C</v>
      </c>
    </row>
    <row r="133" spans="1:7">
      <c r="A133" s="3" t="s">
        <v>380</v>
      </c>
      <c r="B133" s="3" t="s">
        <v>379</v>
      </c>
      <c r="C133" s="3">
        <v>9630</v>
      </c>
      <c r="D133" s="13">
        <v>6468856.2</v>
      </c>
      <c r="E133" s="12">
        <f>RANK(D133,$D$2:$D$151)</f>
        <v>130</v>
      </c>
      <c r="F133" s="14">
        <f>SUMPRODUCT(($E$2:$E$151&lt;=E133)*$D$2:$D$151)/SUM($D$2:$D$151)</f>
        <v>0.987795899874064</v>
      </c>
      <c r="G133" s="12" t="str">
        <f t="shared" si="2"/>
        <v>C</v>
      </c>
    </row>
    <row r="134" spans="1:7">
      <c r="A134" s="3" t="s">
        <v>382</v>
      </c>
      <c r="B134" s="3" t="s">
        <v>379</v>
      </c>
      <c r="C134" s="3">
        <v>12130</v>
      </c>
      <c r="D134" s="13">
        <v>3437035.5</v>
      </c>
      <c r="E134" s="12">
        <f>RANK(D134,$D$2:$D$151)</f>
        <v>143</v>
      </c>
      <c r="F134" s="14">
        <f>SUMPRODUCT(($E$2:$E$151&lt;=E134)*$D$2:$D$151)/SUM($D$2:$D$151)</f>
        <v>0.997319926522787</v>
      </c>
      <c r="G134" s="12" t="str">
        <f t="shared" si="2"/>
        <v>C</v>
      </c>
    </row>
    <row r="135" spans="1:7">
      <c r="A135" s="3" t="s">
        <v>385</v>
      </c>
      <c r="B135" s="3" t="s">
        <v>379</v>
      </c>
      <c r="C135" s="3">
        <v>22853</v>
      </c>
      <c r="D135" s="13">
        <v>20883299.93</v>
      </c>
      <c r="E135" s="12">
        <f>RANK(D135,$D$2:$D$151)</f>
        <v>86</v>
      </c>
      <c r="F135" s="14">
        <f>SUMPRODUCT(($E$2:$E$151&lt;=E135)*$D$2:$D$151)/SUM($D$2:$D$151)</f>
        <v>0.898847525325246</v>
      </c>
      <c r="G135" s="12" t="str">
        <f t="shared" si="2"/>
        <v>B</v>
      </c>
    </row>
    <row r="136" spans="1:7">
      <c r="A136" s="3" t="s">
        <v>388</v>
      </c>
      <c r="B136" s="3" t="s">
        <v>379</v>
      </c>
      <c r="C136" s="3">
        <v>28604</v>
      </c>
      <c r="D136" s="13">
        <v>27926657.28</v>
      </c>
      <c r="E136" s="12">
        <f>RANK(D136,$D$2:$D$151)</f>
        <v>66</v>
      </c>
      <c r="F136" s="14">
        <f>SUMPRODUCT(($E$2:$E$151&lt;=E136)*$D$2:$D$151)/SUM($D$2:$D$151)</f>
        <v>0.823159787457532</v>
      </c>
      <c r="G136" s="12" t="str">
        <f t="shared" si="2"/>
        <v>B</v>
      </c>
    </row>
    <row r="137" spans="1:7">
      <c r="A137" s="3" t="s">
        <v>390</v>
      </c>
      <c r="B137" s="3" t="s">
        <v>379</v>
      </c>
      <c r="C137" s="3">
        <v>17643</v>
      </c>
      <c r="D137" s="13">
        <v>16551604.02</v>
      </c>
      <c r="E137" s="12">
        <f>RANK(D137,$D$2:$D$151)</f>
        <v>99</v>
      </c>
      <c r="F137" s="14">
        <f>SUMPRODUCT(($E$2:$E$151&lt;=E137)*$D$2:$D$151)/SUM($D$2:$D$151)</f>
        <v>0.937119818717152</v>
      </c>
      <c r="G137" s="12" t="str">
        <f t="shared" si="2"/>
        <v>B</v>
      </c>
    </row>
    <row r="138" spans="1:7">
      <c r="A138" s="3" t="s">
        <v>393</v>
      </c>
      <c r="B138" s="3" t="s">
        <v>379</v>
      </c>
      <c r="C138" s="3">
        <v>30493</v>
      </c>
      <c r="D138" s="13">
        <v>27932807.72</v>
      </c>
      <c r="E138" s="12">
        <f>RANK(D138,$D$2:$D$151)</f>
        <v>65</v>
      </c>
      <c r="F138" s="14">
        <f>SUMPRODUCT(($E$2:$E$151&lt;=E138)*$D$2:$D$151)/SUM($D$2:$D$151)</f>
        <v>0.818839287286078</v>
      </c>
      <c r="G138" s="12" t="str">
        <f t="shared" si="2"/>
        <v>B</v>
      </c>
    </row>
    <row r="139" spans="1:7">
      <c r="A139" s="3" t="s">
        <v>395</v>
      </c>
      <c r="B139" s="3" t="s">
        <v>379</v>
      </c>
      <c r="C139" s="3">
        <v>27140</v>
      </c>
      <c r="D139" s="13">
        <v>13098578.2</v>
      </c>
      <c r="E139" s="12">
        <f>RANK(D139,$D$2:$D$151)</f>
        <v>107</v>
      </c>
      <c r="F139" s="14">
        <f>SUMPRODUCT(($E$2:$E$151&lt;=E139)*$D$2:$D$151)/SUM($D$2:$D$151)</f>
        <v>0.95482950351898</v>
      </c>
      <c r="G139" s="12" t="str">
        <f t="shared" si="2"/>
        <v>C</v>
      </c>
    </row>
    <row r="140" spans="1:7">
      <c r="A140" s="3" t="s">
        <v>397</v>
      </c>
      <c r="B140" s="3" t="s">
        <v>379</v>
      </c>
      <c r="C140" s="3">
        <v>33612</v>
      </c>
      <c r="D140" s="13">
        <v>8635258.92</v>
      </c>
      <c r="E140" s="12">
        <f>RANK(D140,$D$2:$D$151)</f>
        <v>120</v>
      </c>
      <c r="F140" s="14">
        <f>SUMPRODUCT(($E$2:$E$151&lt;=E140)*$D$2:$D$151)/SUM($D$2:$D$151)</f>
        <v>0.97621036882512</v>
      </c>
      <c r="G140" s="12" t="str">
        <f t="shared" si="2"/>
        <v>C</v>
      </c>
    </row>
    <row r="141" spans="1:7">
      <c r="A141" s="3" t="s">
        <v>399</v>
      </c>
      <c r="B141" s="3" t="s">
        <v>379</v>
      </c>
      <c r="C141" s="3">
        <v>31126</v>
      </c>
      <c r="D141" s="13">
        <v>26339443.72</v>
      </c>
      <c r="E141" s="12">
        <f>RANK(D141,$D$2:$D$151)</f>
        <v>73</v>
      </c>
      <c r="F141" s="14">
        <f>SUMPRODUCT(($E$2:$E$151&lt;=E141)*$D$2:$D$151)/SUM($D$2:$D$151)</f>
        <v>0.852333213211981</v>
      </c>
      <c r="G141" s="12" t="str">
        <f t="shared" si="2"/>
        <v>B</v>
      </c>
    </row>
    <row r="142" spans="1:7">
      <c r="A142" s="3" t="s">
        <v>401</v>
      </c>
      <c r="B142" s="3" t="s">
        <v>379</v>
      </c>
      <c r="C142" s="3">
        <v>32804</v>
      </c>
      <c r="D142" s="13">
        <v>14783450.64</v>
      </c>
      <c r="E142" s="12">
        <f>RANK(D142,$D$2:$D$151)</f>
        <v>102</v>
      </c>
      <c r="F142" s="14">
        <f>SUMPRODUCT(($E$2:$E$151&lt;=E142)*$D$2:$D$151)/SUM($D$2:$D$151)</f>
        <v>0.944250942281246</v>
      </c>
      <c r="G142" s="12" t="str">
        <f t="shared" si="2"/>
        <v>B</v>
      </c>
    </row>
    <row r="143" spans="1:7">
      <c r="A143" s="3" t="s">
        <v>403</v>
      </c>
      <c r="B143" s="3" t="s">
        <v>379</v>
      </c>
      <c r="C143" s="3">
        <v>27656</v>
      </c>
      <c r="D143" s="13">
        <v>8465501.6</v>
      </c>
      <c r="E143" s="12">
        <f>RANK(D143,$D$2:$D$151)</f>
        <v>122</v>
      </c>
      <c r="F143" s="14">
        <f>SUMPRODUCT(($E$2:$E$151&lt;=E143)*$D$2:$D$151)/SUM($D$2:$D$151)</f>
        <v>0.978836227800672</v>
      </c>
      <c r="G143" s="12" t="str">
        <f t="shared" si="2"/>
        <v>C</v>
      </c>
    </row>
    <row r="144" spans="1:7">
      <c r="A144" s="3" t="s">
        <v>405</v>
      </c>
      <c r="B144" s="3" t="s">
        <v>379</v>
      </c>
      <c r="C144" s="3">
        <v>34491</v>
      </c>
      <c r="D144" s="13">
        <v>24173017.35</v>
      </c>
      <c r="E144" s="12">
        <f>RANK(D144,$D$2:$D$151)</f>
        <v>77</v>
      </c>
      <c r="F144" s="14">
        <f>SUMPRODUCT(($E$2:$E$151&lt;=E144)*$D$2:$D$151)/SUM($D$2:$D$151)</f>
        <v>0.867907139474363</v>
      </c>
      <c r="G144" s="12" t="str">
        <f t="shared" si="2"/>
        <v>B</v>
      </c>
    </row>
    <row r="145" spans="1:7">
      <c r="A145" s="3" t="s">
        <v>407</v>
      </c>
      <c r="B145" s="3" t="s">
        <v>379</v>
      </c>
      <c r="C145" s="3">
        <v>20938</v>
      </c>
      <c r="D145" s="13">
        <v>7357822.58</v>
      </c>
      <c r="E145" s="12">
        <f>RANK(D145,$D$2:$D$151)</f>
        <v>127</v>
      </c>
      <c r="F145" s="14">
        <f>SUMPRODUCT(($E$2:$E$151&lt;=E145)*$D$2:$D$151)/SUM($D$2:$D$151)</f>
        <v>0.984637132023149</v>
      </c>
      <c r="G145" s="12" t="str">
        <f t="shared" si="2"/>
        <v>C</v>
      </c>
    </row>
    <row r="146" spans="1:7">
      <c r="A146" s="3" t="s">
        <v>409</v>
      </c>
      <c r="B146" s="3" t="s">
        <v>379</v>
      </c>
      <c r="C146" s="3">
        <v>18911</v>
      </c>
      <c r="D146" s="13">
        <v>15680433.87</v>
      </c>
      <c r="E146" s="12">
        <f>RANK(D146,$D$2:$D$151)</f>
        <v>100</v>
      </c>
      <c r="F146" s="14">
        <f>SUMPRODUCT(($E$2:$E$151&lt;=E146)*$D$2:$D$151)/SUM($D$2:$D$151)</f>
        <v>0.939545720125421</v>
      </c>
      <c r="G146" s="12" t="str">
        <f t="shared" si="2"/>
        <v>B</v>
      </c>
    </row>
    <row r="147" spans="1:7">
      <c r="A147" s="3" t="s">
        <v>412</v>
      </c>
      <c r="B147" s="3" t="s">
        <v>379</v>
      </c>
      <c r="C147" s="3">
        <v>23936</v>
      </c>
      <c r="D147" s="13">
        <v>3357981.44</v>
      </c>
      <c r="E147" s="12">
        <f>RANK(D147,$D$2:$D$151)</f>
        <v>144</v>
      </c>
      <c r="F147" s="14">
        <f>SUMPRODUCT(($E$2:$E$151&lt;=E147)*$D$2:$D$151)/SUM($D$2:$D$151)</f>
        <v>0.9978394358662</v>
      </c>
      <c r="G147" s="12" t="str">
        <f t="shared" si="2"/>
        <v>C</v>
      </c>
    </row>
    <row r="148" spans="1:7">
      <c r="A148" s="3" t="s">
        <v>414</v>
      </c>
      <c r="B148" s="3" t="s">
        <v>379</v>
      </c>
      <c r="C148" s="3">
        <v>26065</v>
      </c>
      <c r="D148" s="13">
        <v>20458157.85</v>
      </c>
      <c r="E148" s="12">
        <f>RANK(D148,$D$2:$D$151)</f>
        <v>88</v>
      </c>
      <c r="F148" s="14">
        <f>SUMPRODUCT(($E$2:$E$151&lt;=E148)*$D$2:$D$151)/SUM($D$2:$D$151)</f>
        <v>0.905230848955142</v>
      </c>
      <c r="G148" s="12" t="str">
        <f t="shared" si="2"/>
        <v>B</v>
      </c>
    </row>
    <row r="149" spans="1:7">
      <c r="A149" s="3" t="s">
        <v>416</v>
      </c>
      <c r="B149" s="3" t="s">
        <v>379</v>
      </c>
      <c r="C149" s="3">
        <v>32436</v>
      </c>
      <c r="D149" s="13">
        <v>26953342.92</v>
      </c>
      <c r="E149" s="12">
        <f>RANK(D149,$D$2:$D$151)</f>
        <v>69</v>
      </c>
      <c r="F149" s="14">
        <f>SUMPRODUCT(($E$2:$E$151&lt;=E149)*$D$2:$D$151)/SUM($D$2:$D$151)</f>
        <v>0.83588638189431</v>
      </c>
      <c r="G149" s="12" t="str">
        <f t="shared" si="2"/>
        <v>B</v>
      </c>
    </row>
    <row r="150" spans="1:7">
      <c r="A150" s="3" t="s">
        <v>418</v>
      </c>
      <c r="B150" s="3" t="s">
        <v>379</v>
      </c>
      <c r="C150" s="3">
        <v>21697</v>
      </c>
      <c r="D150" s="13">
        <v>11455365.09</v>
      </c>
      <c r="E150" s="12">
        <f>RANK(D150,$D$2:$D$151)</f>
        <v>110</v>
      </c>
      <c r="F150" s="14">
        <f>SUMPRODUCT(($E$2:$E$151&lt;=E150)*$D$2:$D$151)/SUM($D$2:$D$151)</f>
        <v>0.960463540597522</v>
      </c>
      <c r="G150" s="12" t="str">
        <f t="shared" si="2"/>
        <v>C</v>
      </c>
    </row>
    <row r="151" spans="1:7">
      <c r="A151" s="3" t="s">
        <v>420</v>
      </c>
      <c r="B151" s="3" t="s">
        <v>379</v>
      </c>
      <c r="C151" s="3">
        <v>13400</v>
      </c>
      <c r="D151" s="13">
        <v>2170264</v>
      </c>
      <c r="E151" s="12">
        <f>RANK(D151,$D$2:$D$151)</f>
        <v>149</v>
      </c>
      <c r="F151" s="14">
        <f>SUMPRODUCT(($E$2:$E$151&lt;=E151)*$D$2:$D$151)/SUM($D$2:$D$151)</f>
        <v>0.999897840935139</v>
      </c>
      <c r="G151" s="12" t="str">
        <f t="shared" si="2"/>
        <v>C</v>
      </c>
    </row>
  </sheetData>
  <conditionalFormatting sqref="G2:G151">
    <cfRule type="cellIs" dxfId="0" priority="2" operator="equal">
      <formula>"A"</formula>
    </cfRule>
    <cfRule type="cellIs" dxfId="1" priority="3" operator="equal">
      <formula>"B"</formula>
    </cfRule>
    <cfRule type="cellIs" dxfId="2" priority="4" operator="equal">
      <formula>"C"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0" customWidth="1"/>
    <col min="2" max="2" width="11" customWidth="1"/>
    <col min="3" max="3" width="15" customWidth="1"/>
    <col min="4" max="4" width="14" customWidth="1"/>
    <col min="5" max="6" width="13" customWidth="1"/>
    <col min="7" max="7" width="16" customWidth="1"/>
    <col min="8" max="8" width="17" customWidth="1"/>
    <col min="9" max="9" width="15" customWidth="1"/>
    <col min="10" max="10" width="13" customWidth="1"/>
  </cols>
  <sheetData>
    <row r="1" ht="26.4" spans="1:12">
      <c r="A1" s="2" t="s">
        <v>21</v>
      </c>
      <c r="B1" s="2" t="s">
        <v>430</v>
      </c>
      <c r="C1" s="2" t="s">
        <v>423</v>
      </c>
      <c r="D1" s="2" t="s">
        <v>439</v>
      </c>
      <c r="E1" s="2" t="s">
        <v>26</v>
      </c>
      <c r="F1" s="2" t="s">
        <v>440</v>
      </c>
      <c r="G1" s="2" t="s">
        <v>441</v>
      </c>
      <c r="H1" s="2" t="s">
        <v>442</v>
      </c>
      <c r="I1" s="2" t="s">
        <v>443</v>
      </c>
      <c r="J1" s="2" t="s">
        <v>444</v>
      </c>
      <c r="L1" s="6" t="s">
        <v>445</v>
      </c>
    </row>
    <row r="2" spans="1:12">
      <c r="A2" s="12" t="str">
        <f>SKU_Master!A2</f>
        <v>SKU0001</v>
      </c>
      <c r="B2" s="12" t="str">
        <f>ABC_Analysis!G2</f>
        <v>A</v>
      </c>
      <c r="C2" s="12">
        <f>Demand_Stats!C2</f>
        <v>52.63</v>
      </c>
      <c r="D2" s="12">
        <f>Demand_Stats!D2</f>
        <v>24.39</v>
      </c>
      <c r="E2" s="12">
        <f>SKU_Master!F2</f>
        <v>5</v>
      </c>
      <c r="F2" s="12">
        <f t="shared" ref="F2:F65" si="0">IF(B2="A",2.05,IF(B2="B",1.65,1.28))</f>
        <v>2.05</v>
      </c>
      <c r="G2" s="12">
        <f t="shared" ref="G2:G65" si="1">ROUND(F2*D2*SQRT(E2),1)</f>
        <v>111.8</v>
      </c>
      <c r="H2" s="12">
        <f t="shared" ref="H2:H65" si="2">ROUND((C2*E2)+G2,1)</f>
        <v>375</v>
      </c>
      <c r="I2" s="3">
        <v>0</v>
      </c>
      <c r="J2" s="12" t="str">
        <f t="shared" ref="J2:J65" si="3">IF(I2&lt;=H2,"REORDER NOW","OK")</f>
        <v>REORDER NOW</v>
      </c>
      <c r="L2" s="6" t="s">
        <v>446</v>
      </c>
    </row>
    <row r="3" spans="1:10">
      <c r="A3" s="12" t="str">
        <f>SKU_Master!A3</f>
        <v>SKU0002</v>
      </c>
      <c r="B3" s="12" t="str">
        <f>ABC_Analysis!G3</f>
        <v>A</v>
      </c>
      <c r="C3" s="12">
        <f>Demand_Stats!C3</f>
        <v>33.32</v>
      </c>
      <c r="D3" s="12">
        <f>Demand_Stats!D3</f>
        <v>16.7</v>
      </c>
      <c r="E3" s="12">
        <f>SKU_Master!F3</f>
        <v>4</v>
      </c>
      <c r="F3" s="12">
        <f t="shared" si="0"/>
        <v>2.05</v>
      </c>
      <c r="G3" s="12">
        <f t="shared" si="1"/>
        <v>68.5</v>
      </c>
      <c r="H3" s="12">
        <f t="shared" si="2"/>
        <v>201.8</v>
      </c>
      <c r="I3" s="3">
        <v>0</v>
      </c>
      <c r="J3" s="12" t="str">
        <f t="shared" si="3"/>
        <v>REORDER NOW</v>
      </c>
    </row>
    <row r="4" spans="1:10">
      <c r="A4" s="12" t="str">
        <f>SKU_Master!A4</f>
        <v>SKU0003</v>
      </c>
      <c r="B4" s="12" t="str">
        <f>ABC_Analysis!G4</f>
        <v>A</v>
      </c>
      <c r="C4" s="12">
        <f>Demand_Stats!C4</f>
        <v>53.84</v>
      </c>
      <c r="D4" s="12">
        <f>Demand_Stats!D4</f>
        <v>27</v>
      </c>
      <c r="E4" s="12">
        <f>SKU_Master!F4</f>
        <v>5</v>
      </c>
      <c r="F4" s="12">
        <f t="shared" si="0"/>
        <v>2.05</v>
      </c>
      <c r="G4" s="12">
        <f t="shared" si="1"/>
        <v>123.8</v>
      </c>
      <c r="H4" s="12">
        <f t="shared" si="2"/>
        <v>393</v>
      </c>
      <c r="I4" s="3">
        <v>1</v>
      </c>
      <c r="J4" s="12" t="str">
        <f t="shared" si="3"/>
        <v>REORDER NOW</v>
      </c>
    </row>
    <row r="5" spans="1:10">
      <c r="A5" s="12" t="str">
        <f>SKU_Master!A5</f>
        <v>SKU0004</v>
      </c>
      <c r="B5" s="12" t="str">
        <f>ABC_Analysis!G5</f>
        <v>B</v>
      </c>
      <c r="C5" s="12">
        <f>Demand_Stats!C5</f>
        <v>14.69</v>
      </c>
      <c r="D5" s="12">
        <f>Demand_Stats!D5</f>
        <v>8.05</v>
      </c>
      <c r="E5" s="12">
        <f>SKU_Master!F5</f>
        <v>3</v>
      </c>
      <c r="F5" s="12">
        <f t="shared" si="0"/>
        <v>1.65</v>
      </c>
      <c r="G5" s="12">
        <f t="shared" si="1"/>
        <v>23</v>
      </c>
      <c r="H5" s="12">
        <f t="shared" si="2"/>
        <v>67.1</v>
      </c>
      <c r="I5" s="3">
        <v>0</v>
      </c>
      <c r="J5" s="12" t="str">
        <f t="shared" si="3"/>
        <v>REORDER NOW</v>
      </c>
    </row>
    <row r="6" spans="1:10">
      <c r="A6" s="12" t="str">
        <f>SKU_Master!A6</f>
        <v>SKU0005</v>
      </c>
      <c r="B6" s="12" t="str">
        <f>ABC_Analysis!G6</f>
        <v>A</v>
      </c>
      <c r="C6" s="12">
        <f>Demand_Stats!C6</f>
        <v>21.77</v>
      </c>
      <c r="D6" s="12">
        <f>Demand_Stats!D6</f>
        <v>10.92</v>
      </c>
      <c r="E6" s="12">
        <f>SKU_Master!F6</f>
        <v>2</v>
      </c>
      <c r="F6" s="12">
        <f t="shared" si="0"/>
        <v>2.05</v>
      </c>
      <c r="G6" s="12">
        <f t="shared" si="1"/>
        <v>31.7</v>
      </c>
      <c r="H6" s="12">
        <f t="shared" si="2"/>
        <v>75.2</v>
      </c>
      <c r="I6" s="3">
        <v>95</v>
      </c>
      <c r="J6" s="12" t="str">
        <f t="shared" si="3"/>
        <v>OK</v>
      </c>
    </row>
    <row r="7" spans="1:10">
      <c r="A7" s="12" t="str">
        <f>SKU_Master!A7</f>
        <v>SKU0006</v>
      </c>
      <c r="B7" s="12" t="str">
        <f>ABC_Analysis!G7</f>
        <v>A</v>
      </c>
      <c r="C7" s="12">
        <f>Demand_Stats!C7</f>
        <v>27.13</v>
      </c>
      <c r="D7" s="12">
        <f>Demand_Stats!D7</f>
        <v>14.8</v>
      </c>
      <c r="E7" s="12">
        <f>SKU_Master!F7</f>
        <v>7</v>
      </c>
      <c r="F7" s="12">
        <f t="shared" si="0"/>
        <v>2.05</v>
      </c>
      <c r="G7" s="12">
        <f t="shared" si="1"/>
        <v>80.3</v>
      </c>
      <c r="H7" s="12">
        <f t="shared" si="2"/>
        <v>270.2</v>
      </c>
      <c r="I7" s="3">
        <v>18</v>
      </c>
      <c r="J7" s="12" t="str">
        <f t="shared" si="3"/>
        <v>REORDER NOW</v>
      </c>
    </row>
    <row r="8" spans="1:10">
      <c r="A8" s="12" t="str">
        <f>SKU_Master!A8</f>
        <v>SKU0007</v>
      </c>
      <c r="B8" s="12" t="str">
        <f>ABC_Analysis!G8</f>
        <v>A</v>
      </c>
      <c r="C8" s="12">
        <f>Demand_Stats!C8</f>
        <v>49.72</v>
      </c>
      <c r="D8" s="12">
        <f>Demand_Stats!D8</f>
        <v>23.57</v>
      </c>
      <c r="E8" s="12">
        <f>SKU_Master!F8</f>
        <v>5</v>
      </c>
      <c r="F8" s="12">
        <f t="shared" si="0"/>
        <v>2.05</v>
      </c>
      <c r="G8" s="12">
        <f t="shared" si="1"/>
        <v>108</v>
      </c>
      <c r="H8" s="12">
        <f t="shared" si="2"/>
        <v>356.6</v>
      </c>
      <c r="I8" s="3">
        <v>0</v>
      </c>
      <c r="J8" s="12" t="str">
        <f t="shared" si="3"/>
        <v>REORDER NOW</v>
      </c>
    </row>
    <row r="9" spans="1:10">
      <c r="A9" s="12" t="str">
        <f>SKU_Master!A9</f>
        <v>SKU0008</v>
      </c>
      <c r="B9" s="12" t="str">
        <f>ABC_Analysis!G9</f>
        <v>A</v>
      </c>
      <c r="C9" s="12">
        <f>Demand_Stats!C9</f>
        <v>44.82</v>
      </c>
      <c r="D9" s="12">
        <f>Demand_Stats!D9</f>
        <v>22.42</v>
      </c>
      <c r="E9" s="12">
        <f>SKU_Master!F9</f>
        <v>4</v>
      </c>
      <c r="F9" s="12">
        <f t="shared" si="0"/>
        <v>2.05</v>
      </c>
      <c r="G9" s="12">
        <f t="shared" si="1"/>
        <v>91.9</v>
      </c>
      <c r="H9" s="12">
        <f t="shared" si="2"/>
        <v>271.2</v>
      </c>
      <c r="I9" s="3">
        <v>0</v>
      </c>
      <c r="J9" s="12" t="str">
        <f t="shared" si="3"/>
        <v>REORDER NOW</v>
      </c>
    </row>
    <row r="10" spans="1:10">
      <c r="A10" s="12" t="str">
        <f>SKU_Master!A10</f>
        <v>SKU0009</v>
      </c>
      <c r="B10" s="12" t="str">
        <f>ABC_Analysis!G10</f>
        <v>A</v>
      </c>
      <c r="C10" s="12">
        <f>Demand_Stats!C10</f>
        <v>13.59</v>
      </c>
      <c r="D10" s="12">
        <f>Demand_Stats!D10</f>
        <v>7.63</v>
      </c>
      <c r="E10" s="12">
        <f>SKU_Master!F10</f>
        <v>4</v>
      </c>
      <c r="F10" s="12">
        <f t="shared" si="0"/>
        <v>2.05</v>
      </c>
      <c r="G10" s="12">
        <f t="shared" si="1"/>
        <v>31.3</v>
      </c>
      <c r="H10" s="12">
        <f t="shared" si="2"/>
        <v>85.7</v>
      </c>
      <c r="I10" s="3">
        <v>21</v>
      </c>
      <c r="J10" s="12" t="str">
        <f t="shared" si="3"/>
        <v>REORDER NOW</v>
      </c>
    </row>
    <row r="11" spans="1:10">
      <c r="A11" s="12" t="str">
        <f>SKU_Master!A11</f>
        <v>SKU0010</v>
      </c>
      <c r="B11" s="12" t="str">
        <f>ABC_Analysis!G11</f>
        <v>A</v>
      </c>
      <c r="C11" s="12">
        <f>Demand_Stats!C11</f>
        <v>26.71</v>
      </c>
      <c r="D11" s="12">
        <f>Demand_Stats!D11</f>
        <v>13.2</v>
      </c>
      <c r="E11" s="12">
        <f>SKU_Master!F11</f>
        <v>3</v>
      </c>
      <c r="F11" s="12">
        <f t="shared" si="0"/>
        <v>2.05</v>
      </c>
      <c r="G11" s="12">
        <f t="shared" si="1"/>
        <v>46.9</v>
      </c>
      <c r="H11" s="12">
        <f t="shared" si="2"/>
        <v>127</v>
      </c>
      <c r="I11" s="3">
        <v>0</v>
      </c>
      <c r="J11" s="12" t="str">
        <f t="shared" si="3"/>
        <v>REORDER NOW</v>
      </c>
    </row>
    <row r="12" spans="1:10">
      <c r="A12" s="12" t="str">
        <f>SKU_Master!A12</f>
        <v>SKU0011</v>
      </c>
      <c r="B12" s="12" t="str">
        <f>ABC_Analysis!G12</f>
        <v>A</v>
      </c>
      <c r="C12" s="12">
        <f>Demand_Stats!C12</f>
        <v>20.89</v>
      </c>
      <c r="D12" s="12">
        <f>Demand_Stats!D12</f>
        <v>11.88</v>
      </c>
      <c r="E12" s="12">
        <f>SKU_Master!F12</f>
        <v>2</v>
      </c>
      <c r="F12" s="12">
        <f t="shared" si="0"/>
        <v>2.05</v>
      </c>
      <c r="G12" s="12">
        <f t="shared" si="1"/>
        <v>34.4</v>
      </c>
      <c r="H12" s="12">
        <f t="shared" si="2"/>
        <v>76.2</v>
      </c>
      <c r="I12" s="3">
        <v>84</v>
      </c>
      <c r="J12" s="12" t="str">
        <f t="shared" si="3"/>
        <v>OK</v>
      </c>
    </row>
    <row r="13" spans="1:10">
      <c r="A13" s="12" t="str">
        <f>SKU_Master!A13</f>
        <v>SKU0012</v>
      </c>
      <c r="B13" s="12" t="str">
        <f>ABC_Analysis!G13</f>
        <v>A</v>
      </c>
      <c r="C13" s="12">
        <f>Demand_Stats!C13</f>
        <v>20.46</v>
      </c>
      <c r="D13" s="12">
        <f>Demand_Stats!D13</f>
        <v>10.62</v>
      </c>
      <c r="E13" s="12">
        <f>SKU_Master!F13</f>
        <v>5</v>
      </c>
      <c r="F13" s="12">
        <f t="shared" si="0"/>
        <v>2.05</v>
      </c>
      <c r="G13" s="12">
        <f t="shared" si="1"/>
        <v>48.7</v>
      </c>
      <c r="H13" s="12">
        <f t="shared" si="2"/>
        <v>151</v>
      </c>
      <c r="I13" s="3">
        <v>28</v>
      </c>
      <c r="J13" s="12" t="str">
        <f t="shared" si="3"/>
        <v>REORDER NOW</v>
      </c>
    </row>
    <row r="14" spans="1:10">
      <c r="A14" s="12" t="str">
        <f>SKU_Master!A14</f>
        <v>SKU0013</v>
      </c>
      <c r="B14" s="12" t="str">
        <f>ABC_Analysis!G14</f>
        <v>A</v>
      </c>
      <c r="C14" s="12">
        <f>Demand_Stats!C14</f>
        <v>18.09</v>
      </c>
      <c r="D14" s="12">
        <f>Demand_Stats!D14</f>
        <v>10.04</v>
      </c>
      <c r="E14" s="12">
        <f>SKU_Master!F14</f>
        <v>14</v>
      </c>
      <c r="F14" s="12">
        <f t="shared" si="0"/>
        <v>2.05</v>
      </c>
      <c r="G14" s="12">
        <f t="shared" si="1"/>
        <v>77</v>
      </c>
      <c r="H14" s="12">
        <f t="shared" si="2"/>
        <v>330.3</v>
      </c>
      <c r="I14" s="3">
        <v>58</v>
      </c>
      <c r="J14" s="12" t="str">
        <f t="shared" si="3"/>
        <v>REORDER NOW</v>
      </c>
    </row>
    <row r="15" spans="1:10">
      <c r="A15" s="12" t="str">
        <f>SKU_Master!A15</f>
        <v>SKU0014</v>
      </c>
      <c r="B15" s="12" t="str">
        <f>ABC_Analysis!G15</f>
        <v>A</v>
      </c>
      <c r="C15" s="12">
        <f>Demand_Stats!C15</f>
        <v>25.54</v>
      </c>
      <c r="D15" s="12">
        <f>Demand_Stats!D15</f>
        <v>13.62</v>
      </c>
      <c r="E15" s="12">
        <f>SKU_Master!F15</f>
        <v>2</v>
      </c>
      <c r="F15" s="12">
        <f t="shared" si="0"/>
        <v>2.05</v>
      </c>
      <c r="G15" s="12">
        <f t="shared" si="1"/>
        <v>39.5</v>
      </c>
      <c r="H15" s="12">
        <f t="shared" si="2"/>
        <v>90.6</v>
      </c>
      <c r="I15" s="3">
        <v>117</v>
      </c>
      <c r="J15" s="12" t="str">
        <f t="shared" si="3"/>
        <v>OK</v>
      </c>
    </row>
    <row r="16" spans="1:10">
      <c r="A16" s="12" t="str">
        <f>SKU_Master!A16</f>
        <v>SKU0015</v>
      </c>
      <c r="B16" s="12" t="str">
        <f>ABC_Analysis!G16</f>
        <v>A</v>
      </c>
      <c r="C16" s="12">
        <f>Demand_Stats!C16</f>
        <v>48.62</v>
      </c>
      <c r="D16" s="12">
        <f>Demand_Stats!D16</f>
        <v>25.34</v>
      </c>
      <c r="E16" s="12">
        <f>SKU_Master!F16</f>
        <v>7</v>
      </c>
      <c r="F16" s="12">
        <f t="shared" si="0"/>
        <v>2.05</v>
      </c>
      <c r="G16" s="12">
        <f t="shared" si="1"/>
        <v>137.4</v>
      </c>
      <c r="H16" s="12">
        <f t="shared" si="2"/>
        <v>477.7</v>
      </c>
      <c r="I16" s="3">
        <v>42</v>
      </c>
      <c r="J16" s="12" t="str">
        <f t="shared" si="3"/>
        <v>REORDER NOW</v>
      </c>
    </row>
    <row r="17" spans="1:10">
      <c r="A17" s="12" t="str">
        <f>SKU_Master!A17</f>
        <v>SKU0016</v>
      </c>
      <c r="B17" s="12" t="str">
        <f>ABC_Analysis!G17</f>
        <v>C</v>
      </c>
      <c r="C17" s="12">
        <f>Demand_Stats!C17</f>
        <v>13.93</v>
      </c>
      <c r="D17" s="12">
        <f>Demand_Stats!D17</f>
        <v>7.74</v>
      </c>
      <c r="E17" s="12">
        <f>SKU_Master!F17</f>
        <v>4</v>
      </c>
      <c r="F17" s="12">
        <f t="shared" si="0"/>
        <v>1.28</v>
      </c>
      <c r="G17" s="12">
        <f t="shared" si="1"/>
        <v>19.8</v>
      </c>
      <c r="H17" s="12">
        <f t="shared" si="2"/>
        <v>75.5</v>
      </c>
      <c r="I17" s="3">
        <v>0</v>
      </c>
      <c r="J17" s="12" t="str">
        <f t="shared" si="3"/>
        <v>REORDER NOW</v>
      </c>
    </row>
    <row r="18" spans="1:10">
      <c r="A18" s="12" t="str">
        <f>SKU_Master!A18</f>
        <v>SKU0017</v>
      </c>
      <c r="B18" s="12" t="str">
        <f>ABC_Analysis!G18</f>
        <v>A</v>
      </c>
      <c r="C18" s="12">
        <f>Demand_Stats!C18</f>
        <v>41.23</v>
      </c>
      <c r="D18" s="12">
        <f>Demand_Stats!D18</f>
        <v>20.96</v>
      </c>
      <c r="E18" s="12">
        <f>SKU_Master!F18</f>
        <v>3</v>
      </c>
      <c r="F18" s="12">
        <f t="shared" si="0"/>
        <v>2.05</v>
      </c>
      <c r="G18" s="12">
        <f t="shared" si="1"/>
        <v>74.4</v>
      </c>
      <c r="H18" s="12">
        <f t="shared" si="2"/>
        <v>198.1</v>
      </c>
      <c r="I18" s="3">
        <v>0</v>
      </c>
      <c r="J18" s="12" t="str">
        <f t="shared" si="3"/>
        <v>REORDER NOW</v>
      </c>
    </row>
    <row r="19" spans="1:10">
      <c r="A19" s="12" t="str">
        <f>SKU_Master!A19</f>
        <v>SKU0018</v>
      </c>
      <c r="B19" s="12" t="str">
        <f>ABC_Analysis!G19</f>
        <v>A</v>
      </c>
      <c r="C19" s="12">
        <f>Demand_Stats!C19</f>
        <v>34.74</v>
      </c>
      <c r="D19" s="12">
        <f>Demand_Stats!D19</f>
        <v>17.81</v>
      </c>
      <c r="E19" s="12">
        <f>SKU_Master!F19</f>
        <v>4</v>
      </c>
      <c r="F19" s="12">
        <f t="shared" si="0"/>
        <v>2.05</v>
      </c>
      <c r="G19" s="12">
        <f t="shared" si="1"/>
        <v>73</v>
      </c>
      <c r="H19" s="12">
        <f t="shared" si="2"/>
        <v>212</v>
      </c>
      <c r="I19" s="3">
        <v>0</v>
      </c>
      <c r="J19" s="12" t="str">
        <f t="shared" si="3"/>
        <v>REORDER NOW</v>
      </c>
    </row>
    <row r="20" spans="1:10">
      <c r="A20" s="12" t="str">
        <f>SKU_Master!A20</f>
        <v>SKU0019</v>
      </c>
      <c r="B20" s="12" t="str">
        <f>ABC_Analysis!G20</f>
        <v>A</v>
      </c>
      <c r="C20" s="12">
        <f>Demand_Stats!C20</f>
        <v>13.22</v>
      </c>
      <c r="D20" s="12">
        <f>Demand_Stats!D20</f>
        <v>7.7</v>
      </c>
      <c r="E20" s="12">
        <f>SKU_Master!F20</f>
        <v>7</v>
      </c>
      <c r="F20" s="12">
        <f t="shared" si="0"/>
        <v>2.05</v>
      </c>
      <c r="G20" s="12">
        <f t="shared" si="1"/>
        <v>41.8</v>
      </c>
      <c r="H20" s="12">
        <f t="shared" si="2"/>
        <v>134.3</v>
      </c>
      <c r="I20" s="3">
        <v>45</v>
      </c>
      <c r="J20" s="12" t="str">
        <f t="shared" si="3"/>
        <v>REORDER NOW</v>
      </c>
    </row>
    <row r="21" spans="1:10">
      <c r="A21" s="12" t="str">
        <f>SKU_Master!A21</f>
        <v>SKU0020</v>
      </c>
      <c r="B21" s="12" t="str">
        <f>ABC_Analysis!G21</f>
        <v>A</v>
      </c>
      <c r="C21" s="12">
        <f>Demand_Stats!C21</f>
        <v>48.81</v>
      </c>
      <c r="D21" s="12">
        <f>Demand_Stats!D21</f>
        <v>24.94</v>
      </c>
      <c r="E21" s="12">
        <f>SKU_Master!F21</f>
        <v>7</v>
      </c>
      <c r="F21" s="12">
        <f t="shared" si="0"/>
        <v>2.05</v>
      </c>
      <c r="G21" s="12">
        <f t="shared" si="1"/>
        <v>135.3</v>
      </c>
      <c r="H21" s="12">
        <f t="shared" si="2"/>
        <v>477</v>
      </c>
      <c r="I21" s="3">
        <v>44</v>
      </c>
      <c r="J21" s="12" t="str">
        <f t="shared" si="3"/>
        <v>REORDER NOW</v>
      </c>
    </row>
    <row r="22" spans="1:10">
      <c r="A22" s="12" t="str">
        <f>SKU_Master!A22</f>
        <v>SKU0021</v>
      </c>
      <c r="B22" s="12" t="str">
        <f>ABC_Analysis!G22</f>
        <v>C</v>
      </c>
      <c r="C22" s="12">
        <f>Demand_Stats!C22</f>
        <v>14.43</v>
      </c>
      <c r="D22" s="12">
        <f>Demand_Stats!D22</f>
        <v>7.64</v>
      </c>
      <c r="E22" s="12">
        <f>SKU_Master!F22</f>
        <v>7</v>
      </c>
      <c r="F22" s="12">
        <f t="shared" si="0"/>
        <v>1.28</v>
      </c>
      <c r="G22" s="12">
        <f t="shared" si="1"/>
        <v>25.9</v>
      </c>
      <c r="H22" s="12">
        <f t="shared" si="2"/>
        <v>126.9</v>
      </c>
      <c r="I22" s="3">
        <v>62</v>
      </c>
      <c r="J22" s="12" t="str">
        <f t="shared" si="3"/>
        <v>REORDER NOW</v>
      </c>
    </row>
    <row r="23" spans="1:10">
      <c r="A23" s="12" t="str">
        <f>SKU_Master!A23</f>
        <v>SKU0022</v>
      </c>
      <c r="B23" s="12" t="str">
        <f>ABC_Analysis!G23</f>
        <v>A</v>
      </c>
      <c r="C23" s="12">
        <f>Demand_Stats!C23</f>
        <v>8.32</v>
      </c>
      <c r="D23" s="12">
        <f>Demand_Stats!D23</f>
        <v>4.83</v>
      </c>
      <c r="E23" s="12">
        <f>SKU_Master!F23</f>
        <v>2</v>
      </c>
      <c r="F23" s="12">
        <f t="shared" si="0"/>
        <v>2.05</v>
      </c>
      <c r="G23" s="12">
        <f t="shared" si="1"/>
        <v>14</v>
      </c>
      <c r="H23" s="12">
        <f t="shared" si="2"/>
        <v>30.6</v>
      </c>
      <c r="I23" s="3">
        <v>99</v>
      </c>
      <c r="J23" s="12" t="str">
        <f t="shared" si="3"/>
        <v>OK</v>
      </c>
    </row>
    <row r="24" spans="1:10">
      <c r="A24" s="12" t="str">
        <f>SKU_Master!A24</f>
        <v>SKU0023</v>
      </c>
      <c r="B24" s="12" t="str">
        <f>ABC_Analysis!G24</f>
        <v>A</v>
      </c>
      <c r="C24" s="12">
        <f>Demand_Stats!C24</f>
        <v>18.4</v>
      </c>
      <c r="D24" s="12">
        <f>Demand_Stats!D24</f>
        <v>9.41</v>
      </c>
      <c r="E24" s="12">
        <f>SKU_Master!F24</f>
        <v>3</v>
      </c>
      <c r="F24" s="12">
        <f t="shared" si="0"/>
        <v>2.05</v>
      </c>
      <c r="G24" s="12">
        <f t="shared" si="1"/>
        <v>33.4</v>
      </c>
      <c r="H24" s="12">
        <f t="shared" si="2"/>
        <v>88.6</v>
      </c>
      <c r="I24" s="3">
        <v>48</v>
      </c>
      <c r="J24" s="12" t="str">
        <f t="shared" si="3"/>
        <v>REORDER NOW</v>
      </c>
    </row>
    <row r="25" spans="1:10">
      <c r="A25" s="12" t="str">
        <f>SKU_Master!A25</f>
        <v>SKU0024</v>
      </c>
      <c r="B25" s="12" t="str">
        <f>ABC_Analysis!G25</f>
        <v>A</v>
      </c>
      <c r="C25" s="12">
        <f>Demand_Stats!C25</f>
        <v>10.13</v>
      </c>
      <c r="D25" s="12">
        <f>Demand_Stats!D25</f>
        <v>5.89</v>
      </c>
      <c r="E25" s="12">
        <f>SKU_Master!F25</f>
        <v>2</v>
      </c>
      <c r="F25" s="12">
        <f t="shared" si="0"/>
        <v>2.05</v>
      </c>
      <c r="G25" s="12">
        <f t="shared" si="1"/>
        <v>17.1</v>
      </c>
      <c r="H25" s="12">
        <f t="shared" si="2"/>
        <v>37.4</v>
      </c>
      <c r="I25" s="3">
        <v>158</v>
      </c>
      <c r="J25" s="12" t="str">
        <f t="shared" si="3"/>
        <v>OK</v>
      </c>
    </row>
    <row r="26" spans="1:10">
      <c r="A26" s="12" t="str">
        <f>SKU_Master!A26</f>
        <v>SKU0025</v>
      </c>
      <c r="B26" s="12" t="str">
        <f>ABC_Analysis!G26</f>
        <v>A</v>
      </c>
      <c r="C26" s="12">
        <f>Demand_Stats!C26</f>
        <v>23.96</v>
      </c>
      <c r="D26" s="12">
        <f>Demand_Stats!D26</f>
        <v>11.95</v>
      </c>
      <c r="E26" s="12">
        <f>SKU_Master!F26</f>
        <v>14</v>
      </c>
      <c r="F26" s="12">
        <f t="shared" si="0"/>
        <v>2.05</v>
      </c>
      <c r="G26" s="12">
        <f t="shared" si="1"/>
        <v>91.7</v>
      </c>
      <c r="H26" s="12">
        <f t="shared" si="2"/>
        <v>427.1</v>
      </c>
      <c r="I26" s="3">
        <v>19</v>
      </c>
      <c r="J26" s="12" t="str">
        <f t="shared" si="3"/>
        <v>REORDER NOW</v>
      </c>
    </row>
    <row r="27" spans="1:10">
      <c r="A27" s="12" t="str">
        <f>SKU_Master!A27</f>
        <v>SKU0026</v>
      </c>
      <c r="B27" s="12" t="str">
        <f>ABC_Analysis!G27</f>
        <v>B</v>
      </c>
      <c r="C27" s="12">
        <f>Demand_Stats!C27</f>
        <v>8.14</v>
      </c>
      <c r="D27" s="12">
        <f>Demand_Stats!D27</f>
        <v>4.72</v>
      </c>
      <c r="E27" s="12">
        <f>SKU_Master!F27</f>
        <v>4</v>
      </c>
      <c r="F27" s="12">
        <f t="shared" si="0"/>
        <v>1.65</v>
      </c>
      <c r="G27" s="12">
        <f t="shared" si="1"/>
        <v>15.6</v>
      </c>
      <c r="H27" s="12">
        <f t="shared" si="2"/>
        <v>48.2</v>
      </c>
      <c r="I27" s="3">
        <v>31</v>
      </c>
      <c r="J27" s="12" t="str">
        <f t="shared" si="3"/>
        <v>REORDER NOW</v>
      </c>
    </row>
    <row r="28" spans="1:10">
      <c r="A28" s="12" t="str">
        <f>SKU_Master!A28</f>
        <v>SKU0027</v>
      </c>
      <c r="B28" s="12" t="str">
        <f>ABC_Analysis!G28</f>
        <v>A</v>
      </c>
      <c r="C28" s="12">
        <f>Demand_Stats!C28</f>
        <v>7.79</v>
      </c>
      <c r="D28" s="12">
        <f>Demand_Stats!D28</f>
        <v>4.54</v>
      </c>
      <c r="E28" s="12">
        <f>SKU_Master!F28</f>
        <v>2</v>
      </c>
      <c r="F28" s="12">
        <f t="shared" si="0"/>
        <v>2.05</v>
      </c>
      <c r="G28" s="12">
        <f t="shared" si="1"/>
        <v>13.2</v>
      </c>
      <c r="H28" s="12">
        <f t="shared" si="2"/>
        <v>28.8</v>
      </c>
      <c r="I28" s="3">
        <v>92</v>
      </c>
      <c r="J28" s="12" t="str">
        <f t="shared" si="3"/>
        <v>OK</v>
      </c>
    </row>
    <row r="29" spans="1:10">
      <c r="A29" s="12" t="str">
        <f>SKU_Master!A29</f>
        <v>SKU0028</v>
      </c>
      <c r="B29" s="12" t="str">
        <f>ABC_Analysis!G29</f>
        <v>A</v>
      </c>
      <c r="C29" s="12">
        <f>Demand_Stats!C29</f>
        <v>29.18</v>
      </c>
      <c r="D29" s="12">
        <f>Demand_Stats!D29</f>
        <v>14.96</v>
      </c>
      <c r="E29" s="12">
        <f>SKU_Master!F29</f>
        <v>2</v>
      </c>
      <c r="F29" s="12">
        <f t="shared" si="0"/>
        <v>2.05</v>
      </c>
      <c r="G29" s="12">
        <f t="shared" si="1"/>
        <v>43.4</v>
      </c>
      <c r="H29" s="12">
        <f t="shared" si="2"/>
        <v>101.8</v>
      </c>
      <c r="I29" s="3">
        <v>133</v>
      </c>
      <c r="J29" s="12" t="str">
        <f t="shared" si="3"/>
        <v>OK</v>
      </c>
    </row>
    <row r="30" spans="1:10">
      <c r="A30" s="12" t="str">
        <f>SKU_Master!A30</f>
        <v>SKU0029</v>
      </c>
      <c r="B30" s="12" t="str">
        <f>ABC_Analysis!G30</f>
        <v>A</v>
      </c>
      <c r="C30" s="12">
        <f>Demand_Stats!C30</f>
        <v>19.89</v>
      </c>
      <c r="D30" s="12">
        <f>Demand_Stats!D30</f>
        <v>9.36</v>
      </c>
      <c r="E30" s="12">
        <f>SKU_Master!F30</f>
        <v>10</v>
      </c>
      <c r="F30" s="12">
        <f t="shared" si="0"/>
        <v>2.05</v>
      </c>
      <c r="G30" s="12">
        <f t="shared" si="1"/>
        <v>60.7</v>
      </c>
      <c r="H30" s="12">
        <f t="shared" si="2"/>
        <v>259.6</v>
      </c>
      <c r="I30" s="3">
        <v>0</v>
      </c>
      <c r="J30" s="12" t="str">
        <f t="shared" si="3"/>
        <v>REORDER NOW</v>
      </c>
    </row>
    <row r="31" spans="1:10">
      <c r="A31" s="12" t="str">
        <f>SKU_Master!A31</f>
        <v>SKU0030</v>
      </c>
      <c r="B31" s="12" t="str">
        <f>ABC_Analysis!G31</f>
        <v>A</v>
      </c>
      <c r="C31" s="12">
        <f>Demand_Stats!C31</f>
        <v>11.44</v>
      </c>
      <c r="D31" s="12">
        <f>Demand_Stats!D31</f>
        <v>7.03</v>
      </c>
      <c r="E31" s="12">
        <f>SKU_Master!F31</f>
        <v>4</v>
      </c>
      <c r="F31" s="12">
        <f t="shared" si="0"/>
        <v>2.05</v>
      </c>
      <c r="G31" s="12">
        <f t="shared" si="1"/>
        <v>28.8</v>
      </c>
      <c r="H31" s="12">
        <f t="shared" si="2"/>
        <v>74.6</v>
      </c>
      <c r="I31" s="3">
        <v>0</v>
      </c>
      <c r="J31" s="12" t="str">
        <f t="shared" si="3"/>
        <v>REORDER NOW</v>
      </c>
    </row>
    <row r="32" spans="1:10">
      <c r="A32" s="12" t="str">
        <f>SKU_Master!A32</f>
        <v>SKU0031</v>
      </c>
      <c r="B32" s="12" t="str">
        <f>ABC_Analysis!G32</f>
        <v>A</v>
      </c>
      <c r="C32" s="12">
        <f>Demand_Stats!C32</f>
        <v>21.23</v>
      </c>
      <c r="D32" s="12">
        <f>Demand_Stats!D32</f>
        <v>10.95</v>
      </c>
      <c r="E32" s="12">
        <f>SKU_Master!F32</f>
        <v>10</v>
      </c>
      <c r="F32" s="12">
        <f t="shared" si="0"/>
        <v>2.05</v>
      </c>
      <c r="G32" s="12">
        <f t="shared" si="1"/>
        <v>71</v>
      </c>
      <c r="H32" s="12">
        <f t="shared" si="2"/>
        <v>283.3</v>
      </c>
      <c r="I32" s="3">
        <v>0</v>
      </c>
      <c r="J32" s="12" t="str">
        <f t="shared" si="3"/>
        <v>REORDER NOW</v>
      </c>
    </row>
    <row r="33" spans="1:10">
      <c r="A33" s="12" t="str">
        <f>SKU_Master!A33</f>
        <v>SKU0032</v>
      </c>
      <c r="B33" s="12" t="str">
        <f>ABC_Analysis!G33</f>
        <v>A</v>
      </c>
      <c r="C33" s="12">
        <f>Demand_Stats!C33</f>
        <v>6.1</v>
      </c>
      <c r="D33" s="12">
        <f>Demand_Stats!D33</f>
        <v>3.98</v>
      </c>
      <c r="E33" s="12">
        <f>SKU_Master!F33</f>
        <v>5</v>
      </c>
      <c r="F33" s="12">
        <f t="shared" si="0"/>
        <v>2.05</v>
      </c>
      <c r="G33" s="12">
        <f t="shared" si="1"/>
        <v>18.2</v>
      </c>
      <c r="H33" s="12">
        <f t="shared" si="2"/>
        <v>48.7</v>
      </c>
      <c r="I33" s="3">
        <v>9</v>
      </c>
      <c r="J33" s="12" t="str">
        <f t="shared" si="3"/>
        <v>REORDER NOW</v>
      </c>
    </row>
    <row r="34" spans="1:10">
      <c r="A34" s="12" t="str">
        <f>SKU_Master!A34</f>
        <v>SKU0033</v>
      </c>
      <c r="B34" s="12" t="str">
        <f>ABC_Analysis!G34</f>
        <v>B</v>
      </c>
      <c r="C34" s="12">
        <f>Demand_Stats!C34</f>
        <v>9.17</v>
      </c>
      <c r="D34" s="12">
        <f>Demand_Stats!D34</f>
        <v>5.34</v>
      </c>
      <c r="E34" s="12">
        <f>SKU_Master!F34</f>
        <v>3</v>
      </c>
      <c r="F34" s="12">
        <f t="shared" si="0"/>
        <v>1.65</v>
      </c>
      <c r="G34" s="12">
        <f t="shared" si="1"/>
        <v>15.3</v>
      </c>
      <c r="H34" s="12">
        <f t="shared" si="2"/>
        <v>42.8</v>
      </c>
      <c r="I34" s="3">
        <v>0</v>
      </c>
      <c r="J34" s="12" t="str">
        <f t="shared" si="3"/>
        <v>REORDER NOW</v>
      </c>
    </row>
    <row r="35" spans="1:10">
      <c r="A35" s="12" t="str">
        <f>SKU_Master!A35</f>
        <v>SKU0034</v>
      </c>
      <c r="B35" s="12" t="str">
        <f>ABC_Analysis!G35</f>
        <v>C</v>
      </c>
      <c r="C35" s="12">
        <f>Demand_Stats!C35</f>
        <v>5.53</v>
      </c>
      <c r="D35" s="12">
        <f>Demand_Stats!D35</f>
        <v>3.14</v>
      </c>
      <c r="E35" s="12">
        <f>SKU_Master!F35</f>
        <v>5</v>
      </c>
      <c r="F35" s="12">
        <f t="shared" si="0"/>
        <v>1.28</v>
      </c>
      <c r="G35" s="12">
        <f t="shared" si="1"/>
        <v>9</v>
      </c>
      <c r="H35" s="12">
        <f t="shared" si="2"/>
        <v>36.7</v>
      </c>
      <c r="I35" s="3">
        <v>8</v>
      </c>
      <c r="J35" s="12" t="str">
        <f t="shared" si="3"/>
        <v>REORDER NOW</v>
      </c>
    </row>
    <row r="36" spans="1:10">
      <c r="A36" s="12" t="str">
        <f>SKU_Master!A36</f>
        <v>SKU0035</v>
      </c>
      <c r="B36" s="12" t="str">
        <f>ABC_Analysis!G36</f>
        <v>A</v>
      </c>
      <c r="C36" s="12">
        <f>Demand_Stats!C36</f>
        <v>5.17</v>
      </c>
      <c r="D36" s="12">
        <f>Demand_Stats!D36</f>
        <v>3.4</v>
      </c>
      <c r="E36" s="12">
        <f>SKU_Master!F36</f>
        <v>3</v>
      </c>
      <c r="F36" s="12">
        <f t="shared" si="0"/>
        <v>2.05</v>
      </c>
      <c r="G36" s="12">
        <f t="shared" si="1"/>
        <v>12.1</v>
      </c>
      <c r="H36" s="12">
        <f t="shared" si="2"/>
        <v>27.6</v>
      </c>
      <c r="I36" s="3">
        <v>10</v>
      </c>
      <c r="J36" s="12" t="str">
        <f t="shared" si="3"/>
        <v>REORDER NOW</v>
      </c>
    </row>
    <row r="37" spans="1:10">
      <c r="A37" s="12" t="str">
        <f>SKU_Master!A37</f>
        <v>SKU0036</v>
      </c>
      <c r="B37" s="12" t="str">
        <f>ABC_Analysis!G37</f>
        <v>A</v>
      </c>
      <c r="C37" s="12">
        <f>Demand_Stats!C37</f>
        <v>15.37</v>
      </c>
      <c r="D37" s="12">
        <f>Demand_Stats!D37</f>
        <v>8</v>
      </c>
      <c r="E37" s="12">
        <f>SKU_Master!F37</f>
        <v>4</v>
      </c>
      <c r="F37" s="12">
        <f t="shared" si="0"/>
        <v>2.05</v>
      </c>
      <c r="G37" s="12">
        <f t="shared" si="1"/>
        <v>32.8</v>
      </c>
      <c r="H37" s="12">
        <f t="shared" si="2"/>
        <v>94.3</v>
      </c>
      <c r="I37" s="3">
        <v>0</v>
      </c>
      <c r="J37" s="12" t="str">
        <f t="shared" si="3"/>
        <v>REORDER NOW</v>
      </c>
    </row>
    <row r="38" spans="1:10">
      <c r="A38" s="12" t="str">
        <f>SKU_Master!A38</f>
        <v>SKU0037</v>
      </c>
      <c r="B38" s="12" t="str">
        <f>ABC_Analysis!G38</f>
        <v>A</v>
      </c>
      <c r="C38" s="12">
        <f>Demand_Stats!C38</f>
        <v>26.64</v>
      </c>
      <c r="D38" s="12">
        <f>Demand_Stats!D38</f>
        <v>12.84</v>
      </c>
      <c r="E38" s="12">
        <f>SKU_Master!F38</f>
        <v>10</v>
      </c>
      <c r="F38" s="12">
        <f t="shared" si="0"/>
        <v>2.05</v>
      </c>
      <c r="G38" s="12">
        <f t="shared" si="1"/>
        <v>83.2</v>
      </c>
      <c r="H38" s="12">
        <f t="shared" si="2"/>
        <v>349.6</v>
      </c>
      <c r="I38" s="3">
        <v>0</v>
      </c>
      <c r="J38" s="12" t="str">
        <f t="shared" si="3"/>
        <v>REORDER NOW</v>
      </c>
    </row>
    <row r="39" spans="1:10">
      <c r="A39" s="12" t="str">
        <f>SKU_Master!A39</f>
        <v>SKU0038</v>
      </c>
      <c r="B39" s="12" t="str">
        <f>ABC_Analysis!G39</f>
        <v>A</v>
      </c>
      <c r="C39" s="12">
        <f>Demand_Stats!C39</f>
        <v>17.63</v>
      </c>
      <c r="D39" s="12">
        <f>Demand_Stats!D39</f>
        <v>9.93</v>
      </c>
      <c r="E39" s="12">
        <f>SKU_Master!F39</f>
        <v>10</v>
      </c>
      <c r="F39" s="12">
        <f t="shared" si="0"/>
        <v>2.05</v>
      </c>
      <c r="G39" s="12">
        <f t="shared" si="1"/>
        <v>64.4</v>
      </c>
      <c r="H39" s="12">
        <f t="shared" si="2"/>
        <v>240.7</v>
      </c>
      <c r="I39" s="3">
        <v>0</v>
      </c>
      <c r="J39" s="12" t="str">
        <f t="shared" si="3"/>
        <v>REORDER NOW</v>
      </c>
    </row>
    <row r="40" spans="1:10">
      <c r="A40" s="12" t="str">
        <f>SKU_Master!A40</f>
        <v>SKU0039</v>
      </c>
      <c r="B40" s="12" t="str">
        <f>ABC_Analysis!G40</f>
        <v>B</v>
      </c>
      <c r="C40" s="12">
        <f>Demand_Stats!C40</f>
        <v>15.59</v>
      </c>
      <c r="D40" s="12">
        <f>Demand_Stats!D40</f>
        <v>8.9</v>
      </c>
      <c r="E40" s="12">
        <f>SKU_Master!F40</f>
        <v>3</v>
      </c>
      <c r="F40" s="12">
        <f t="shared" si="0"/>
        <v>1.65</v>
      </c>
      <c r="G40" s="12">
        <f t="shared" si="1"/>
        <v>25.4</v>
      </c>
      <c r="H40" s="12">
        <f t="shared" si="2"/>
        <v>72.2</v>
      </c>
      <c r="I40" s="3">
        <v>0</v>
      </c>
      <c r="J40" s="12" t="str">
        <f t="shared" si="3"/>
        <v>REORDER NOW</v>
      </c>
    </row>
    <row r="41" spans="1:10">
      <c r="A41" s="12" t="str">
        <f>SKU_Master!A41</f>
        <v>SKU0040</v>
      </c>
      <c r="B41" s="12" t="str">
        <f>ABC_Analysis!G41</f>
        <v>A</v>
      </c>
      <c r="C41" s="12">
        <f>Demand_Stats!C41</f>
        <v>29.78</v>
      </c>
      <c r="D41" s="12">
        <f>Demand_Stats!D41</f>
        <v>14.35</v>
      </c>
      <c r="E41" s="12">
        <f>SKU_Master!F41</f>
        <v>10</v>
      </c>
      <c r="F41" s="12">
        <f t="shared" si="0"/>
        <v>2.05</v>
      </c>
      <c r="G41" s="12">
        <f t="shared" si="1"/>
        <v>93</v>
      </c>
      <c r="H41" s="12">
        <f t="shared" si="2"/>
        <v>390.8</v>
      </c>
      <c r="I41" s="3">
        <v>9</v>
      </c>
      <c r="J41" s="12" t="str">
        <f t="shared" si="3"/>
        <v>REORDER NOW</v>
      </c>
    </row>
    <row r="42" spans="1:10">
      <c r="A42" s="12" t="str">
        <f>SKU_Master!A42</f>
        <v>SKU0041</v>
      </c>
      <c r="B42" s="12" t="str">
        <f>ABC_Analysis!G42</f>
        <v>A</v>
      </c>
      <c r="C42" s="12">
        <f>Demand_Stats!C42</f>
        <v>55.38</v>
      </c>
      <c r="D42" s="12">
        <f>Demand_Stats!D42</f>
        <v>29.55</v>
      </c>
      <c r="E42" s="12">
        <f>SKU_Master!F42</f>
        <v>5</v>
      </c>
      <c r="F42" s="12">
        <f t="shared" si="0"/>
        <v>2.05</v>
      </c>
      <c r="G42" s="12">
        <f t="shared" si="1"/>
        <v>135.5</v>
      </c>
      <c r="H42" s="12">
        <f t="shared" si="2"/>
        <v>412.4</v>
      </c>
      <c r="I42" s="3">
        <v>0</v>
      </c>
      <c r="J42" s="12" t="str">
        <f t="shared" si="3"/>
        <v>REORDER NOW</v>
      </c>
    </row>
    <row r="43" spans="1:10">
      <c r="A43" s="12" t="str">
        <f>SKU_Master!A43</f>
        <v>SKU0042</v>
      </c>
      <c r="B43" s="12" t="str">
        <f>ABC_Analysis!G43</f>
        <v>B</v>
      </c>
      <c r="C43" s="12">
        <f>Demand_Stats!C43</f>
        <v>25.87</v>
      </c>
      <c r="D43" s="12">
        <f>Demand_Stats!D43</f>
        <v>13.69</v>
      </c>
      <c r="E43" s="12">
        <f>SKU_Master!F43</f>
        <v>5</v>
      </c>
      <c r="F43" s="12">
        <f t="shared" si="0"/>
        <v>1.65</v>
      </c>
      <c r="G43" s="12">
        <f t="shared" si="1"/>
        <v>50.5</v>
      </c>
      <c r="H43" s="12">
        <f t="shared" si="2"/>
        <v>179.9</v>
      </c>
      <c r="I43" s="3">
        <v>0</v>
      </c>
      <c r="J43" s="12" t="str">
        <f t="shared" si="3"/>
        <v>REORDER NOW</v>
      </c>
    </row>
    <row r="44" spans="1:10">
      <c r="A44" s="12" t="str">
        <f>SKU_Master!A44</f>
        <v>SKU0043</v>
      </c>
      <c r="B44" s="12" t="str">
        <f>ABC_Analysis!G44</f>
        <v>A</v>
      </c>
      <c r="C44" s="12">
        <f>Demand_Stats!C44</f>
        <v>87.76</v>
      </c>
      <c r="D44" s="12">
        <f>Demand_Stats!D44</f>
        <v>40.8</v>
      </c>
      <c r="E44" s="12">
        <f>SKU_Master!F44</f>
        <v>7</v>
      </c>
      <c r="F44" s="12">
        <f t="shared" si="0"/>
        <v>2.05</v>
      </c>
      <c r="G44" s="12">
        <f t="shared" si="1"/>
        <v>221.3</v>
      </c>
      <c r="H44" s="12">
        <f t="shared" si="2"/>
        <v>835.6</v>
      </c>
      <c r="I44" s="3">
        <v>57</v>
      </c>
      <c r="J44" s="12" t="str">
        <f t="shared" si="3"/>
        <v>REORDER NOW</v>
      </c>
    </row>
    <row r="45" spans="1:10">
      <c r="A45" s="12" t="str">
        <f>SKU_Master!A45</f>
        <v>SKU0044</v>
      </c>
      <c r="B45" s="12" t="str">
        <f>ABC_Analysis!G45</f>
        <v>C</v>
      </c>
      <c r="C45" s="12">
        <f>Demand_Stats!C45</f>
        <v>22.93</v>
      </c>
      <c r="D45" s="12">
        <f>Demand_Stats!D45</f>
        <v>12.29</v>
      </c>
      <c r="E45" s="12">
        <f>SKU_Master!F45</f>
        <v>5</v>
      </c>
      <c r="F45" s="12">
        <f t="shared" si="0"/>
        <v>1.28</v>
      </c>
      <c r="G45" s="12">
        <f t="shared" si="1"/>
        <v>35.2</v>
      </c>
      <c r="H45" s="12">
        <f t="shared" si="2"/>
        <v>149.9</v>
      </c>
      <c r="I45" s="3">
        <v>0</v>
      </c>
      <c r="J45" s="12" t="str">
        <f t="shared" si="3"/>
        <v>REORDER NOW</v>
      </c>
    </row>
    <row r="46" spans="1:10">
      <c r="A46" s="12" t="str">
        <f>SKU_Master!A46</f>
        <v>SKU0045</v>
      </c>
      <c r="B46" s="12" t="str">
        <f>ABC_Analysis!G46</f>
        <v>A</v>
      </c>
      <c r="C46" s="12">
        <f>Demand_Stats!C46</f>
        <v>74.36</v>
      </c>
      <c r="D46" s="12">
        <f>Demand_Stats!D46</f>
        <v>34.86</v>
      </c>
      <c r="E46" s="12">
        <f>SKU_Master!F46</f>
        <v>7</v>
      </c>
      <c r="F46" s="12">
        <f t="shared" si="0"/>
        <v>2.05</v>
      </c>
      <c r="G46" s="12">
        <f t="shared" si="1"/>
        <v>189.1</v>
      </c>
      <c r="H46" s="12">
        <f t="shared" si="2"/>
        <v>709.6</v>
      </c>
      <c r="I46" s="3">
        <v>31</v>
      </c>
      <c r="J46" s="12" t="str">
        <f t="shared" si="3"/>
        <v>REORDER NOW</v>
      </c>
    </row>
    <row r="47" spans="1:10">
      <c r="A47" s="12" t="str">
        <f>SKU_Master!A47</f>
        <v>SKU0046</v>
      </c>
      <c r="B47" s="12" t="str">
        <f>ABC_Analysis!G47</f>
        <v>C</v>
      </c>
      <c r="C47" s="12">
        <f>Demand_Stats!C47</f>
        <v>65.66</v>
      </c>
      <c r="D47" s="12">
        <f>Demand_Stats!D47</f>
        <v>33.64</v>
      </c>
      <c r="E47" s="12">
        <f>SKU_Master!F47</f>
        <v>4</v>
      </c>
      <c r="F47" s="12">
        <f t="shared" si="0"/>
        <v>1.28</v>
      </c>
      <c r="G47" s="12">
        <f t="shared" si="1"/>
        <v>86.1</v>
      </c>
      <c r="H47" s="12">
        <f t="shared" si="2"/>
        <v>348.7</v>
      </c>
      <c r="I47" s="3">
        <v>0</v>
      </c>
      <c r="J47" s="12" t="str">
        <f t="shared" si="3"/>
        <v>REORDER NOW</v>
      </c>
    </row>
    <row r="48" spans="1:10">
      <c r="A48" s="12" t="str">
        <f>SKU_Master!A48</f>
        <v>SKU0047</v>
      </c>
      <c r="B48" s="12" t="str">
        <f>ABC_Analysis!G48</f>
        <v>B</v>
      </c>
      <c r="C48" s="12">
        <f>Demand_Stats!C48</f>
        <v>40.19</v>
      </c>
      <c r="D48" s="12">
        <f>Demand_Stats!D48</f>
        <v>18.92</v>
      </c>
      <c r="E48" s="12">
        <f>SKU_Master!F48</f>
        <v>3</v>
      </c>
      <c r="F48" s="12">
        <f t="shared" si="0"/>
        <v>1.65</v>
      </c>
      <c r="G48" s="12">
        <f t="shared" si="1"/>
        <v>54.1</v>
      </c>
      <c r="H48" s="12">
        <f t="shared" si="2"/>
        <v>174.7</v>
      </c>
      <c r="I48" s="3">
        <v>0</v>
      </c>
      <c r="J48" s="12" t="str">
        <f t="shared" si="3"/>
        <v>REORDER NOW</v>
      </c>
    </row>
    <row r="49" spans="1:10">
      <c r="A49" s="12" t="str">
        <f>SKU_Master!A49</f>
        <v>SKU0048</v>
      </c>
      <c r="B49" s="12" t="str">
        <f>ABC_Analysis!G49</f>
        <v>B</v>
      </c>
      <c r="C49" s="12">
        <f>Demand_Stats!C49</f>
        <v>57.59</v>
      </c>
      <c r="D49" s="12">
        <f>Demand_Stats!D49</f>
        <v>28.84</v>
      </c>
      <c r="E49" s="12">
        <f>SKU_Master!F49</f>
        <v>10</v>
      </c>
      <c r="F49" s="12">
        <f t="shared" si="0"/>
        <v>1.65</v>
      </c>
      <c r="G49" s="12">
        <f t="shared" si="1"/>
        <v>150.5</v>
      </c>
      <c r="H49" s="12">
        <f t="shared" si="2"/>
        <v>726.4</v>
      </c>
      <c r="I49" s="3">
        <v>0</v>
      </c>
      <c r="J49" s="12" t="str">
        <f t="shared" si="3"/>
        <v>REORDER NOW</v>
      </c>
    </row>
    <row r="50" spans="1:10">
      <c r="A50" s="12" t="str">
        <f>SKU_Master!A50</f>
        <v>SKU0049</v>
      </c>
      <c r="B50" s="12" t="str">
        <f>ABC_Analysis!G50</f>
        <v>A</v>
      </c>
      <c r="C50" s="12">
        <f>Demand_Stats!C50</f>
        <v>80.22</v>
      </c>
      <c r="D50" s="12">
        <f>Demand_Stats!D50</f>
        <v>39.38</v>
      </c>
      <c r="E50" s="12">
        <f>SKU_Master!F50</f>
        <v>5</v>
      </c>
      <c r="F50" s="12">
        <f t="shared" si="0"/>
        <v>2.05</v>
      </c>
      <c r="G50" s="12">
        <f t="shared" si="1"/>
        <v>180.5</v>
      </c>
      <c r="H50" s="12">
        <f t="shared" si="2"/>
        <v>581.6</v>
      </c>
      <c r="I50" s="3">
        <v>0</v>
      </c>
      <c r="J50" s="12" t="str">
        <f t="shared" si="3"/>
        <v>REORDER NOW</v>
      </c>
    </row>
    <row r="51" spans="1:10">
      <c r="A51" s="12" t="str">
        <f>SKU_Master!A51</f>
        <v>SKU0050</v>
      </c>
      <c r="B51" s="12" t="str">
        <f>ABC_Analysis!G51</f>
        <v>C</v>
      </c>
      <c r="C51" s="12">
        <f>Demand_Stats!C51</f>
        <v>79.48</v>
      </c>
      <c r="D51" s="12">
        <f>Demand_Stats!D51</f>
        <v>37.36</v>
      </c>
      <c r="E51" s="12">
        <f>SKU_Master!F51</f>
        <v>3</v>
      </c>
      <c r="F51" s="12">
        <f t="shared" si="0"/>
        <v>1.28</v>
      </c>
      <c r="G51" s="12">
        <f t="shared" si="1"/>
        <v>82.8</v>
      </c>
      <c r="H51" s="12">
        <f t="shared" si="2"/>
        <v>321.2</v>
      </c>
      <c r="I51" s="3">
        <v>0</v>
      </c>
      <c r="J51" s="12" t="str">
        <f t="shared" si="3"/>
        <v>REORDER NOW</v>
      </c>
    </row>
    <row r="52" spans="1:10">
      <c r="A52" s="12" t="str">
        <f>SKU_Master!A52</f>
        <v>SKU0051</v>
      </c>
      <c r="B52" s="12" t="str">
        <f>ABC_Analysis!G52</f>
        <v>A</v>
      </c>
      <c r="C52" s="12">
        <f>Demand_Stats!C52</f>
        <v>91.49</v>
      </c>
      <c r="D52" s="12">
        <f>Demand_Stats!D52</f>
        <v>43.35</v>
      </c>
      <c r="E52" s="12">
        <f>SKU_Master!F52</f>
        <v>10</v>
      </c>
      <c r="F52" s="12">
        <f t="shared" si="0"/>
        <v>2.05</v>
      </c>
      <c r="G52" s="12">
        <f t="shared" si="1"/>
        <v>281</v>
      </c>
      <c r="H52" s="12">
        <f t="shared" si="2"/>
        <v>1195.9</v>
      </c>
      <c r="I52" s="3">
        <v>0</v>
      </c>
      <c r="J52" s="12" t="str">
        <f t="shared" si="3"/>
        <v>REORDER NOW</v>
      </c>
    </row>
    <row r="53" spans="1:10">
      <c r="A53" s="12" t="str">
        <f>SKU_Master!A53</f>
        <v>SKU0052</v>
      </c>
      <c r="B53" s="12" t="str">
        <f>ABC_Analysis!G53</f>
        <v>A</v>
      </c>
      <c r="C53" s="12">
        <f>Demand_Stats!C53</f>
        <v>66</v>
      </c>
      <c r="D53" s="12">
        <f>Demand_Stats!D53</f>
        <v>31.35</v>
      </c>
      <c r="E53" s="12">
        <f>SKU_Master!F53</f>
        <v>2</v>
      </c>
      <c r="F53" s="12">
        <f t="shared" si="0"/>
        <v>2.05</v>
      </c>
      <c r="G53" s="12">
        <f t="shared" si="1"/>
        <v>90.9</v>
      </c>
      <c r="H53" s="12">
        <f t="shared" si="2"/>
        <v>222.9</v>
      </c>
      <c r="I53" s="3">
        <v>299</v>
      </c>
      <c r="J53" s="12" t="str">
        <f t="shared" si="3"/>
        <v>OK</v>
      </c>
    </row>
    <row r="54" spans="1:10">
      <c r="A54" s="12" t="str">
        <f>SKU_Master!A54</f>
        <v>SKU0053</v>
      </c>
      <c r="B54" s="12" t="str">
        <f>ABC_Analysis!G54</f>
        <v>B</v>
      </c>
      <c r="C54" s="12">
        <f>Demand_Stats!C54</f>
        <v>66.68</v>
      </c>
      <c r="D54" s="12">
        <f>Demand_Stats!D54</f>
        <v>34.04</v>
      </c>
      <c r="E54" s="12">
        <f>SKU_Master!F54</f>
        <v>2</v>
      </c>
      <c r="F54" s="12">
        <f t="shared" si="0"/>
        <v>1.65</v>
      </c>
      <c r="G54" s="12">
        <f t="shared" si="1"/>
        <v>79.4</v>
      </c>
      <c r="H54" s="12">
        <f t="shared" si="2"/>
        <v>212.8</v>
      </c>
      <c r="I54" s="3">
        <v>308</v>
      </c>
      <c r="J54" s="12" t="str">
        <f t="shared" si="3"/>
        <v>OK</v>
      </c>
    </row>
    <row r="55" spans="1:10">
      <c r="A55" s="12" t="str">
        <f>SKU_Master!A55</f>
        <v>SKU0054</v>
      </c>
      <c r="B55" s="12" t="str">
        <f>ABC_Analysis!G55</f>
        <v>A</v>
      </c>
      <c r="C55" s="12">
        <f>Demand_Stats!C55</f>
        <v>79.5</v>
      </c>
      <c r="D55" s="12">
        <f>Demand_Stats!D55</f>
        <v>39.66</v>
      </c>
      <c r="E55" s="12">
        <f>SKU_Master!F55</f>
        <v>2</v>
      </c>
      <c r="F55" s="12">
        <f t="shared" si="0"/>
        <v>2.05</v>
      </c>
      <c r="G55" s="12">
        <f t="shared" si="1"/>
        <v>115</v>
      </c>
      <c r="H55" s="12">
        <f t="shared" si="2"/>
        <v>274</v>
      </c>
      <c r="I55" s="3">
        <v>348</v>
      </c>
      <c r="J55" s="12" t="str">
        <f t="shared" si="3"/>
        <v>OK</v>
      </c>
    </row>
    <row r="56" spans="1:10">
      <c r="A56" s="12" t="str">
        <f>SKU_Master!A56</f>
        <v>SKU0055</v>
      </c>
      <c r="B56" s="12" t="str">
        <f>ABC_Analysis!G56</f>
        <v>C</v>
      </c>
      <c r="C56" s="12">
        <f>Demand_Stats!C56</f>
        <v>24.37</v>
      </c>
      <c r="D56" s="12">
        <f>Demand_Stats!D56</f>
        <v>12.89</v>
      </c>
      <c r="E56" s="12">
        <f>SKU_Master!F56</f>
        <v>4</v>
      </c>
      <c r="F56" s="12">
        <f t="shared" si="0"/>
        <v>1.28</v>
      </c>
      <c r="G56" s="12">
        <f t="shared" si="1"/>
        <v>33</v>
      </c>
      <c r="H56" s="12">
        <f t="shared" si="2"/>
        <v>130.5</v>
      </c>
      <c r="I56" s="3">
        <v>0</v>
      </c>
      <c r="J56" s="12" t="str">
        <f t="shared" si="3"/>
        <v>REORDER NOW</v>
      </c>
    </row>
    <row r="57" spans="1:10">
      <c r="A57" s="12" t="str">
        <f>SKU_Master!A57</f>
        <v>SKU0056</v>
      </c>
      <c r="B57" s="12" t="str">
        <f>ABC_Analysis!G57</f>
        <v>B</v>
      </c>
      <c r="C57" s="12">
        <f>Demand_Stats!C57</f>
        <v>34.9</v>
      </c>
      <c r="D57" s="12">
        <f>Demand_Stats!D57</f>
        <v>18.17</v>
      </c>
      <c r="E57" s="12">
        <f>SKU_Master!F57</f>
        <v>7</v>
      </c>
      <c r="F57" s="12">
        <f t="shared" si="0"/>
        <v>1.65</v>
      </c>
      <c r="G57" s="12">
        <f t="shared" si="1"/>
        <v>79.3</v>
      </c>
      <c r="H57" s="12">
        <f t="shared" si="2"/>
        <v>323.6</v>
      </c>
      <c r="I57" s="3">
        <v>30</v>
      </c>
      <c r="J57" s="12" t="str">
        <f t="shared" si="3"/>
        <v>REORDER NOW</v>
      </c>
    </row>
    <row r="58" spans="1:10">
      <c r="A58" s="12" t="str">
        <f>SKU_Master!A58</f>
        <v>SKU0057</v>
      </c>
      <c r="B58" s="12" t="str">
        <f>ABC_Analysis!G58</f>
        <v>B</v>
      </c>
      <c r="C58" s="12">
        <f>Demand_Stats!C58</f>
        <v>29.31</v>
      </c>
      <c r="D58" s="12">
        <f>Demand_Stats!D58</f>
        <v>14.98</v>
      </c>
      <c r="E58" s="12">
        <f>SKU_Master!F58</f>
        <v>2</v>
      </c>
      <c r="F58" s="12">
        <f t="shared" si="0"/>
        <v>1.65</v>
      </c>
      <c r="G58" s="12">
        <f t="shared" si="1"/>
        <v>35</v>
      </c>
      <c r="H58" s="12">
        <f t="shared" si="2"/>
        <v>93.6</v>
      </c>
      <c r="I58" s="3">
        <v>131</v>
      </c>
      <c r="J58" s="12" t="str">
        <f t="shared" si="3"/>
        <v>OK</v>
      </c>
    </row>
    <row r="59" spans="1:10">
      <c r="A59" s="12" t="str">
        <f>SKU_Master!A59</f>
        <v>SKU0058</v>
      </c>
      <c r="B59" s="12" t="str">
        <f>ABC_Analysis!G59</f>
        <v>A</v>
      </c>
      <c r="C59" s="12">
        <f>Demand_Stats!C59</f>
        <v>60.13</v>
      </c>
      <c r="D59" s="12">
        <f>Demand_Stats!D59</f>
        <v>29.28</v>
      </c>
      <c r="E59" s="12">
        <f>SKU_Master!F59</f>
        <v>2</v>
      </c>
      <c r="F59" s="12">
        <f t="shared" si="0"/>
        <v>2.05</v>
      </c>
      <c r="G59" s="12">
        <f t="shared" si="1"/>
        <v>84.9</v>
      </c>
      <c r="H59" s="12">
        <f t="shared" si="2"/>
        <v>205.2</v>
      </c>
      <c r="I59" s="3">
        <v>271</v>
      </c>
      <c r="J59" s="12" t="str">
        <f t="shared" si="3"/>
        <v>OK</v>
      </c>
    </row>
    <row r="60" spans="1:10">
      <c r="A60" s="12" t="str">
        <f>SKU_Master!A60</f>
        <v>SKU0059</v>
      </c>
      <c r="B60" s="12" t="str">
        <f>ABC_Analysis!G60</f>
        <v>A</v>
      </c>
      <c r="C60" s="12">
        <f>Demand_Stats!C60</f>
        <v>53.89</v>
      </c>
      <c r="D60" s="12">
        <f>Demand_Stats!D60</f>
        <v>26.38</v>
      </c>
      <c r="E60" s="12">
        <f>SKU_Master!F60</f>
        <v>4</v>
      </c>
      <c r="F60" s="12">
        <f t="shared" si="0"/>
        <v>2.05</v>
      </c>
      <c r="G60" s="12">
        <f t="shared" si="1"/>
        <v>108.2</v>
      </c>
      <c r="H60" s="12">
        <f t="shared" si="2"/>
        <v>323.8</v>
      </c>
      <c r="I60" s="3">
        <v>0</v>
      </c>
      <c r="J60" s="12" t="str">
        <f t="shared" si="3"/>
        <v>REORDER NOW</v>
      </c>
    </row>
    <row r="61" spans="1:10">
      <c r="A61" s="12" t="str">
        <f>SKU_Master!A61</f>
        <v>SKU0060</v>
      </c>
      <c r="B61" s="12" t="str">
        <f>ABC_Analysis!G61</f>
        <v>B</v>
      </c>
      <c r="C61" s="12">
        <f>Demand_Stats!C61</f>
        <v>62.51</v>
      </c>
      <c r="D61" s="12">
        <f>Demand_Stats!D61</f>
        <v>29.55</v>
      </c>
      <c r="E61" s="12">
        <f>SKU_Master!F61</f>
        <v>5</v>
      </c>
      <c r="F61" s="12">
        <f t="shared" si="0"/>
        <v>1.65</v>
      </c>
      <c r="G61" s="12">
        <f t="shared" si="1"/>
        <v>109</v>
      </c>
      <c r="H61" s="12">
        <f t="shared" si="2"/>
        <v>421.6</v>
      </c>
      <c r="I61" s="3">
        <v>0</v>
      </c>
      <c r="J61" s="12" t="str">
        <f t="shared" si="3"/>
        <v>REORDER NOW</v>
      </c>
    </row>
    <row r="62" spans="1:10">
      <c r="A62" s="12" t="str">
        <f>SKU_Master!A62</f>
        <v>SKU0061</v>
      </c>
      <c r="B62" s="12" t="str">
        <f>ABC_Analysis!G62</f>
        <v>B</v>
      </c>
      <c r="C62" s="12">
        <f>Demand_Stats!C62</f>
        <v>47.24</v>
      </c>
      <c r="D62" s="12">
        <f>Demand_Stats!D62</f>
        <v>22.79</v>
      </c>
      <c r="E62" s="12">
        <f>SKU_Master!F62</f>
        <v>4</v>
      </c>
      <c r="F62" s="12">
        <f t="shared" si="0"/>
        <v>1.65</v>
      </c>
      <c r="G62" s="12">
        <f t="shared" si="1"/>
        <v>75.2</v>
      </c>
      <c r="H62" s="12">
        <f t="shared" si="2"/>
        <v>264.2</v>
      </c>
      <c r="I62" s="3">
        <v>0</v>
      </c>
      <c r="J62" s="12" t="str">
        <f t="shared" si="3"/>
        <v>REORDER NOW</v>
      </c>
    </row>
    <row r="63" spans="1:10">
      <c r="A63" s="12" t="str">
        <f>SKU_Master!A63</f>
        <v>SKU0062</v>
      </c>
      <c r="B63" s="12" t="str">
        <f>ABC_Analysis!G63</f>
        <v>A</v>
      </c>
      <c r="C63" s="12">
        <f>Demand_Stats!C63</f>
        <v>66.57</v>
      </c>
      <c r="D63" s="12">
        <f>Demand_Stats!D63</f>
        <v>31</v>
      </c>
      <c r="E63" s="12">
        <f>SKU_Master!F63</f>
        <v>3</v>
      </c>
      <c r="F63" s="12">
        <f t="shared" si="0"/>
        <v>2.05</v>
      </c>
      <c r="G63" s="12">
        <f t="shared" si="1"/>
        <v>110.1</v>
      </c>
      <c r="H63" s="12">
        <f t="shared" si="2"/>
        <v>309.8</v>
      </c>
      <c r="I63" s="3">
        <v>0</v>
      </c>
      <c r="J63" s="12" t="str">
        <f t="shared" si="3"/>
        <v>REORDER NOW</v>
      </c>
    </row>
    <row r="64" spans="1:10">
      <c r="A64" s="12" t="str">
        <f>SKU_Master!A64</f>
        <v>SKU0063</v>
      </c>
      <c r="B64" s="12" t="str">
        <f>ABC_Analysis!G64</f>
        <v>A</v>
      </c>
      <c r="C64" s="12">
        <f>Demand_Stats!C64</f>
        <v>82.64</v>
      </c>
      <c r="D64" s="12">
        <f>Demand_Stats!D64</f>
        <v>39.92</v>
      </c>
      <c r="E64" s="12">
        <f>SKU_Master!F64</f>
        <v>10</v>
      </c>
      <c r="F64" s="12">
        <f t="shared" si="0"/>
        <v>2.05</v>
      </c>
      <c r="G64" s="12">
        <f t="shared" si="1"/>
        <v>258.8</v>
      </c>
      <c r="H64" s="12">
        <f t="shared" si="2"/>
        <v>1085.2</v>
      </c>
      <c r="I64" s="3">
        <v>0</v>
      </c>
      <c r="J64" s="12" t="str">
        <f t="shared" si="3"/>
        <v>REORDER NOW</v>
      </c>
    </row>
    <row r="65" spans="1:10">
      <c r="A65" s="12" t="str">
        <f>SKU_Master!A65</f>
        <v>SKU0064</v>
      </c>
      <c r="B65" s="12" t="str">
        <f>ABC_Analysis!G65</f>
        <v>B</v>
      </c>
      <c r="C65" s="12">
        <f>Demand_Stats!C65</f>
        <v>24.68</v>
      </c>
      <c r="D65" s="12">
        <f>Demand_Stats!D65</f>
        <v>13.98</v>
      </c>
      <c r="E65" s="12">
        <f>SKU_Master!F65</f>
        <v>2</v>
      </c>
      <c r="F65" s="12">
        <f t="shared" si="0"/>
        <v>1.65</v>
      </c>
      <c r="G65" s="12">
        <f t="shared" si="1"/>
        <v>32.6</v>
      </c>
      <c r="H65" s="12">
        <f t="shared" si="2"/>
        <v>82</v>
      </c>
      <c r="I65" s="3">
        <v>116</v>
      </c>
      <c r="J65" s="12" t="str">
        <f t="shared" si="3"/>
        <v>OK</v>
      </c>
    </row>
    <row r="66" spans="1:10">
      <c r="A66" s="12" t="str">
        <f>SKU_Master!A66</f>
        <v>SKU0065</v>
      </c>
      <c r="B66" s="12" t="str">
        <f>ABC_Analysis!G66</f>
        <v>C</v>
      </c>
      <c r="C66" s="12">
        <f>Demand_Stats!C66</f>
        <v>15.86</v>
      </c>
      <c r="D66" s="12">
        <f>Demand_Stats!D66</f>
        <v>8.82</v>
      </c>
      <c r="E66" s="12">
        <f>SKU_Master!F66</f>
        <v>7</v>
      </c>
      <c r="F66" s="12">
        <f t="shared" ref="F66:F129" si="4">IF(B66="A",2.05,IF(B66="B",1.65,1.28))</f>
        <v>1.28</v>
      </c>
      <c r="G66" s="12">
        <f t="shared" ref="G66:G129" si="5">ROUND(F66*D66*SQRT(E66),1)</f>
        <v>29.9</v>
      </c>
      <c r="H66" s="12">
        <f t="shared" ref="H66:H129" si="6">ROUND((C66*E66)+G66,1)</f>
        <v>140.9</v>
      </c>
      <c r="I66" s="3">
        <v>10</v>
      </c>
      <c r="J66" s="12" t="str">
        <f t="shared" ref="J66:J129" si="7">IF(I66&lt;=H66,"REORDER NOW","OK")</f>
        <v>REORDER NOW</v>
      </c>
    </row>
    <row r="67" spans="1:10">
      <c r="A67" s="12" t="str">
        <f>SKU_Master!A67</f>
        <v>SKU0066</v>
      </c>
      <c r="B67" s="12" t="str">
        <f>ABC_Analysis!G67</f>
        <v>A</v>
      </c>
      <c r="C67" s="12">
        <f>Demand_Stats!C67</f>
        <v>89.69</v>
      </c>
      <c r="D67" s="12">
        <f>Demand_Stats!D67</f>
        <v>44</v>
      </c>
      <c r="E67" s="12">
        <f>SKU_Master!F67</f>
        <v>7</v>
      </c>
      <c r="F67" s="12">
        <f t="shared" si="4"/>
        <v>2.05</v>
      </c>
      <c r="G67" s="12">
        <f t="shared" si="5"/>
        <v>238.6</v>
      </c>
      <c r="H67" s="12">
        <f t="shared" si="6"/>
        <v>866.4</v>
      </c>
      <c r="I67" s="3">
        <v>73</v>
      </c>
      <c r="J67" s="12" t="str">
        <f t="shared" si="7"/>
        <v>REORDER NOW</v>
      </c>
    </row>
    <row r="68" spans="1:10">
      <c r="A68" s="12" t="str">
        <f>SKU_Master!A68</f>
        <v>SKU0067</v>
      </c>
      <c r="B68" s="12" t="str">
        <f>ABC_Analysis!G68</f>
        <v>B</v>
      </c>
      <c r="C68" s="12">
        <f>Demand_Stats!C68</f>
        <v>31.16</v>
      </c>
      <c r="D68" s="12">
        <f>Demand_Stats!D68</f>
        <v>15.14</v>
      </c>
      <c r="E68" s="12">
        <f>SKU_Master!F68</f>
        <v>4</v>
      </c>
      <c r="F68" s="12">
        <f t="shared" si="4"/>
        <v>1.65</v>
      </c>
      <c r="G68" s="12">
        <f t="shared" si="5"/>
        <v>50</v>
      </c>
      <c r="H68" s="12">
        <f t="shared" si="6"/>
        <v>174.6</v>
      </c>
      <c r="I68" s="3">
        <v>0</v>
      </c>
      <c r="J68" s="12" t="str">
        <f t="shared" si="7"/>
        <v>REORDER NOW</v>
      </c>
    </row>
    <row r="69" spans="1:10">
      <c r="A69" s="12" t="str">
        <f>SKU_Master!A69</f>
        <v>SKU0068</v>
      </c>
      <c r="B69" s="12" t="str">
        <f>ABC_Analysis!G69</f>
        <v>A</v>
      </c>
      <c r="C69" s="12">
        <f>Demand_Stats!C69</f>
        <v>80.67</v>
      </c>
      <c r="D69" s="12">
        <f>Demand_Stats!D69</f>
        <v>40.4</v>
      </c>
      <c r="E69" s="12">
        <f>SKU_Master!F69</f>
        <v>14</v>
      </c>
      <c r="F69" s="12">
        <f t="shared" si="4"/>
        <v>2.05</v>
      </c>
      <c r="G69" s="12">
        <f t="shared" si="5"/>
        <v>309.9</v>
      </c>
      <c r="H69" s="12">
        <f t="shared" si="6"/>
        <v>1439.3</v>
      </c>
      <c r="I69" s="3">
        <v>29</v>
      </c>
      <c r="J69" s="12" t="str">
        <f t="shared" si="7"/>
        <v>REORDER NOW</v>
      </c>
    </row>
    <row r="70" spans="1:10">
      <c r="A70" s="12" t="str">
        <f>SKU_Master!A70</f>
        <v>SKU0069</v>
      </c>
      <c r="B70" s="12" t="str">
        <f>ABC_Analysis!G70</f>
        <v>C</v>
      </c>
      <c r="C70" s="12">
        <f>Demand_Stats!C70</f>
        <v>48.3</v>
      </c>
      <c r="D70" s="12">
        <f>Demand_Stats!D70</f>
        <v>24.15</v>
      </c>
      <c r="E70" s="12">
        <f>SKU_Master!F70</f>
        <v>4</v>
      </c>
      <c r="F70" s="12">
        <f t="shared" si="4"/>
        <v>1.28</v>
      </c>
      <c r="G70" s="12">
        <f t="shared" si="5"/>
        <v>61.8</v>
      </c>
      <c r="H70" s="12">
        <f t="shared" si="6"/>
        <v>255</v>
      </c>
      <c r="I70" s="3">
        <v>0</v>
      </c>
      <c r="J70" s="12" t="str">
        <f t="shared" si="7"/>
        <v>REORDER NOW</v>
      </c>
    </row>
    <row r="71" spans="1:10">
      <c r="A71" s="12" t="str">
        <f>SKU_Master!A71</f>
        <v>SKU0070</v>
      </c>
      <c r="B71" s="12" t="str">
        <f>ABC_Analysis!G71</f>
        <v>C</v>
      </c>
      <c r="C71" s="12">
        <f>Demand_Stats!C71</f>
        <v>36.34</v>
      </c>
      <c r="D71" s="12">
        <f>Demand_Stats!D71</f>
        <v>18.72</v>
      </c>
      <c r="E71" s="12">
        <f>SKU_Master!F71</f>
        <v>4</v>
      </c>
      <c r="F71" s="12">
        <f t="shared" si="4"/>
        <v>1.28</v>
      </c>
      <c r="G71" s="12">
        <f t="shared" si="5"/>
        <v>47.9</v>
      </c>
      <c r="H71" s="12">
        <f t="shared" si="6"/>
        <v>193.3</v>
      </c>
      <c r="I71" s="3">
        <v>0</v>
      </c>
      <c r="J71" s="12" t="str">
        <f t="shared" si="7"/>
        <v>REORDER NOW</v>
      </c>
    </row>
    <row r="72" spans="1:10">
      <c r="A72" s="12" t="str">
        <f>SKU_Master!A72</f>
        <v>SKU0071</v>
      </c>
      <c r="B72" s="12" t="str">
        <f>ABC_Analysis!G72</f>
        <v>A</v>
      </c>
      <c r="C72" s="12">
        <f>Demand_Stats!C72</f>
        <v>63.92</v>
      </c>
      <c r="D72" s="12">
        <f>Demand_Stats!D72</f>
        <v>28.65</v>
      </c>
      <c r="E72" s="12">
        <f>SKU_Master!F72</f>
        <v>5</v>
      </c>
      <c r="F72" s="12">
        <f t="shared" si="4"/>
        <v>2.05</v>
      </c>
      <c r="G72" s="12">
        <f t="shared" si="5"/>
        <v>131.3</v>
      </c>
      <c r="H72" s="12">
        <f t="shared" si="6"/>
        <v>450.9</v>
      </c>
      <c r="I72" s="3">
        <v>0</v>
      </c>
      <c r="J72" s="12" t="str">
        <f t="shared" si="7"/>
        <v>REORDER NOW</v>
      </c>
    </row>
    <row r="73" spans="1:10">
      <c r="A73" s="12" t="str">
        <f>SKU_Master!A73</f>
        <v>SKU0072</v>
      </c>
      <c r="B73" s="12" t="str">
        <f>ABC_Analysis!G73</f>
        <v>A</v>
      </c>
      <c r="C73" s="12">
        <f>Demand_Stats!C73</f>
        <v>72.54</v>
      </c>
      <c r="D73" s="12">
        <f>Demand_Stats!D73</f>
        <v>35.13</v>
      </c>
      <c r="E73" s="12">
        <f>SKU_Master!F73</f>
        <v>10</v>
      </c>
      <c r="F73" s="12">
        <f t="shared" si="4"/>
        <v>2.05</v>
      </c>
      <c r="G73" s="12">
        <f t="shared" si="5"/>
        <v>227.7</v>
      </c>
      <c r="H73" s="12">
        <f t="shared" si="6"/>
        <v>953.1</v>
      </c>
      <c r="I73" s="3">
        <v>0</v>
      </c>
      <c r="J73" s="12" t="str">
        <f t="shared" si="7"/>
        <v>REORDER NOW</v>
      </c>
    </row>
    <row r="74" spans="1:10">
      <c r="A74" s="12" t="str">
        <f>SKU_Master!A74</f>
        <v>SKU0073</v>
      </c>
      <c r="B74" s="12" t="str">
        <f>ABC_Analysis!G74</f>
        <v>B</v>
      </c>
      <c r="C74" s="12">
        <f>Demand_Stats!C74</f>
        <v>53.91</v>
      </c>
      <c r="D74" s="12">
        <f>Demand_Stats!D74</f>
        <v>27.04</v>
      </c>
      <c r="E74" s="12">
        <f>SKU_Master!F74</f>
        <v>2</v>
      </c>
      <c r="F74" s="12">
        <f t="shared" si="4"/>
        <v>1.65</v>
      </c>
      <c r="G74" s="12">
        <f t="shared" si="5"/>
        <v>63.1</v>
      </c>
      <c r="H74" s="12">
        <f t="shared" si="6"/>
        <v>170.9</v>
      </c>
      <c r="I74" s="3">
        <v>262</v>
      </c>
      <c r="J74" s="12" t="str">
        <f t="shared" si="7"/>
        <v>OK</v>
      </c>
    </row>
    <row r="75" spans="1:10">
      <c r="A75" s="12" t="str">
        <f>SKU_Master!A75</f>
        <v>SKU0074</v>
      </c>
      <c r="B75" s="12" t="str">
        <f>ABC_Analysis!G75</f>
        <v>C</v>
      </c>
      <c r="C75" s="12">
        <f>Demand_Stats!C75</f>
        <v>16.94</v>
      </c>
      <c r="D75" s="12">
        <f>Demand_Stats!D75</f>
        <v>9.08</v>
      </c>
      <c r="E75" s="12">
        <f>SKU_Master!F75</f>
        <v>10</v>
      </c>
      <c r="F75" s="12">
        <f t="shared" si="4"/>
        <v>1.28</v>
      </c>
      <c r="G75" s="12">
        <f t="shared" si="5"/>
        <v>36.8</v>
      </c>
      <c r="H75" s="12">
        <f t="shared" si="6"/>
        <v>206.2</v>
      </c>
      <c r="I75" s="3">
        <v>0</v>
      </c>
      <c r="J75" s="12" t="str">
        <f t="shared" si="7"/>
        <v>REORDER NOW</v>
      </c>
    </row>
    <row r="76" spans="1:10">
      <c r="A76" s="12" t="str">
        <f>SKU_Master!A76</f>
        <v>SKU0075</v>
      </c>
      <c r="B76" s="12" t="str">
        <f>ABC_Analysis!G76</f>
        <v>B</v>
      </c>
      <c r="C76" s="12">
        <f>Demand_Stats!C76</f>
        <v>63.21</v>
      </c>
      <c r="D76" s="12">
        <f>Demand_Stats!D76</f>
        <v>33.13</v>
      </c>
      <c r="E76" s="12">
        <f>SKU_Master!F76</f>
        <v>14</v>
      </c>
      <c r="F76" s="12">
        <f t="shared" si="4"/>
        <v>1.65</v>
      </c>
      <c r="G76" s="12">
        <f t="shared" si="5"/>
        <v>204.5</v>
      </c>
      <c r="H76" s="12">
        <f t="shared" si="6"/>
        <v>1089.4</v>
      </c>
      <c r="I76" s="3">
        <v>54</v>
      </c>
      <c r="J76" s="12" t="str">
        <f t="shared" si="7"/>
        <v>REORDER NOW</v>
      </c>
    </row>
    <row r="77" spans="1:10">
      <c r="A77" s="12" t="str">
        <f>SKU_Master!A77</f>
        <v>SKU0076</v>
      </c>
      <c r="B77" s="12" t="str">
        <f>ABC_Analysis!G77</f>
        <v>A</v>
      </c>
      <c r="C77" s="12">
        <f>Demand_Stats!C77</f>
        <v>44.48</v>
      </c>
      <c r="D77" s="12">
        <f>Demand_Stats!D77</f>
        <v>20.99</v>
      </c>
      <c r="E77" s="12">
        <f>SKU_Master!F77</f>
        <v>10</v>
      </c>
      <c r="F77" s="12">
        <f t="shared" si="4"/>
        <v>2.05</v>
      </c>
      <c r="G77" s="12">
        <f t="shared" si="5"/>
        <v>136.1</v>
      </c>
      <c r="H77" s="12">
        <f t="shared" si="6"/>
        <v>580.9</v>
      </c>
      <c r="I77" s="3">
        <v>0</v>
      </c>
      <c r="J77" s="12" t="str">
        <f t="shared" si="7"/>
        <v>REORDER NOW</v>
      </c>
    </row>
    <row r="78" spans="1:10">
      <c r="A78" s="12" t="str">
        <f>SKU_Master!A78</f>
        <v>SKU0077</v>
      </c>
      <c r="B78" s="12" t="str">
        <f>ABC_Analysis!G78</f>
        <v>A</v>
      </c>
      <c r="C78" s="12">
        <f>Demand_Stats!C78</f>
        <v>52.79</v>
      </c>
      <c r="D78" s="12">
        <f>Demand_Stats!D78</f>
        <v>27.69</v>
      </c>
      <c r="E78" s="12">
        <f>SKU_Master!F78</f>
        <v>14</v>
      </c>
      <c r="F78" s="12">
        <f t="shared" si="4"/>
        <v>2.05</v>
      </c>
      <c r="G78" s="12">
        <f t="shared" si="5"/>
        <v>212.4</v>
      </c>
      <c r="H78" s="12">
        <f t="shared" si="6"/>
        <v>951.5</v>
      </c>
      <c r="I78" s="3">
        <v>42</v>
      </c>
      <c r="J78" s="12" t="str">
        <f t="shared" si="7"/>
        <v>REORDER NOW</v>
      </c>
    </row>
    <row r="79" spans="1:10">
      <c r="A79" s="12" t="str">
        <f>SKU_Master!A79</f>
        <v>SKU0078</v>
      </c>
      <c r="B79" s="12" t="str">
        <f>ABC_Analysis!G79</f>
        <v>C</v>
      </c>
      <c r="C79" s="12">
        <f>Demand_Stats!C79</f>
        <v>9.3</v>
      </c>
      <c r="D79" s="12">
        <f>Demand_Stats!D79</f>
        <v>5.24</v>
      </c>
      <c r="E79" s="12">
        <f>SKU_Master!F79</f>
        <v>7</v>
      </c>
      <c r="F79" s="12">
        <f t="shared" si="4"/>
        <v>1.28</v>
      </c>
      <c r="G79" s="12">
        <f t="shared" si="5"/>
        <v>17.7</v>
      </c>
      <c r="H79" s="12">
        <f t="shared" si="6"/>
        <v>82.8</v>
      </c>
      <c r="I79" s="3">
        <v>190</v>
      </c>
      <c r="J79" s="12" t="str">
        <f t="shared" si="7"/>
        <v>OK</v>
      </c>
    </row>
    <row r="80" spans="1:10">
      <c r="A80" s="12" t="str">
        <f>SKU_Master!A80</f>
        <v>SKU0079</v>
      </c>
      <c r="B80" s="12" t="str">
        <f>ABC_Analysis!G80</f>
        <v>C</v>
      </c>
      <c r="C80" s="12">
        <f>Demand_Stats!C80</f>
        <v>11.36</v>
      </c>
      <c r="D80" s="12">
        <f>Demand_Stats!D80</f>
        <v>6.45</v>
      </c>
      <c r="E80" s="12">
        <f>SKU_Master!F80</f>
        <v>5</v>
      </c>
      <c r="F80" s="12">
        <f t="shared" si="4"/>
        <v>1.28</v>
      </c>
      <c r="G80" s="12">
        <f t="shared" si="5"/>
        <v>18.5</v>
      </c>
      <c r="H80" s="12">
        <f t="shared" si="6"/>
        <v>75.3</v>
      </c>
      <c r="I80" s="3">
        <v>11</v>
      </c>
      <c r="J80" s="12" t="str">
        <f t="shared" si="7"/>
        <v>REORDER NOW</v>
      </c>
    </row>
    <row r="81" spans="1:10">
      <c r="A81" s="12" t="str">
        <f>SKU_Master!A81</f>
        <v>SKU0080</v>
      </c>
      <c r="B81" s="12" t="str">
        <f>ABC_Analysis!G81</f>
        <v>C</v>
      </c>
      <c r="C81" s="12">
        <f>Demand_Stats!C81</f>
        <v>37.84</v>
      </c>
      <c r="D81" s="12">
        <f>Demand_Stats!D81</f>
        <v>18.71</v>
      </c>
      <c r="E81" s="12">
        <f>SKU_Master!F81</f>
        <v>7</v>
      </c>
      <c r="F81" s="12">
        <f t="shared" si="4"/>
        <v>1.28</v>
      </c>
      <c r="G81" s="12">
        <f t="shared" si="5"/>
        <v>63.4</v>
      </c>
      <c r="H81" s="12">
        <f t="shared" si="6"/>
        <v>328.3</v>
      </c>
      <c r="I81" s="3">
        <v>42</v>
      </c>
      <c r="J81" s="12" t="str">
        <f t="shared" si="7"/>
        <v>REORDER NOW</v>
      </c>
    </row>
    <row r="82" spans="1:10">
      <c r="A82" s="12" t="str">
        <f>SKU_Master!A82</f>
        <v>SKU0081</v>
      </c>
      <c r="B82" s="12" t="str">
        <f>ABC_Analysis!G82</f>
        <v>B</v>
      </c>
      <c r="C82" s="12">
        <f>Demand_Stats!C82</f>
        <v>47.1</v>
      </c>
      <c r="D82" s="12">
        <f>Demand_Stats!D82</f>
        <v>25.79</v>
      </c>
      <c r="E82" s="12">
        <f>SKU_Master!F82</f>
        <v>2</v>
      </c>
      <c r="F82" s="12">
        <f t="shared" si="4"/>
        <v>1.65</v>
      </c>
      <c r="G82" s="12">
        <f t="shared" si="5"/>
        <v>60.2</v>
      </c>
      <c r="H82" s="12">
        <f t="shared" si="6"/>
        <v>154.4</v>
      </c>
      <c r="I82" s="3">
        <v>213</v>
      </c>
      <c r="J82" s="12" t="str">
        <f t="shared" si="7"/>
        <v>OK</v>
      </c>
    </row>
    <row r="83" spans="1:10">
      <c r="A83" s="12" t="str">
        <f>SKU_Master!A83</f>
        <v>SKU0082</v>
      </c>
      <c r="B83" s="12" t="str">
        <f>ABC_Analysis!G83</f>
        <v>B</v>
      </c>
      <c r="C83" s="12">
        <f>Demand_Stats!C83</f>
        <v>18.14</v>
      </c>
      <c r="D83" s="12">
        <f>Demand_Stats!D83</f>
        <v>8.52</v>
      </c>
      <c r="E83" s="12">
        <f>SKU_Master!F83</f>
        <v>10</v>
      </c>
      <c r="F83" s="12">
        <f t="shared" si="4"/>
        <v>1.65</v>
      </c>
      <c r="G83" s="12">
        <f t="shared" si="5"/>
        <v>44.5</v>
      </c>
      <c r="H83" s="12">
        <f t="shared" si="6"/>
        <v>225.9</v>
      </c>
      <c r="I83" s="3">
        <v>0</v>
      </c>
      <c r="J83" s="12" t="str">
        <f t="shared" si="7"/>
        <v>REORDER NOW</v>
      </c>
    </row>
    <row r="84" spans="1:10">
      <c r="A84" s="12" t="str">
        <f>SKU_Master!A84</f>
        <v>SKU0083</v>
      </c>
      <c r="B84" s="12" t="str">
        <f>ABC_Analysis!G84</f>
        <v>A</v>
      </c>
      <c r="C84" s="12">
        <f>Demand_Stats!C84</f>
        <v>47.84</v>
      </c>
      <c r="D84" s="12">
        <f>Demand_Stats!D84</f>
        <v>25.47</v>
      </c>
      <c r="E84" s="12">
        <f>SKU_Master!F84</f>
        <v>3</v>
      </c>
      <c r="F84" s="12">
        <f t="shared" si="4"/>
        <v>2.05</v>
      </c>
      <c r="G84" s="12">
        <f t="shared" si="5"/>
        <v>90.4</v>
      </c>
      <c r="H84" s="12">
        <f t="shared" si="6"/>
        <v>233.9</v>
      </c>
      <c r="I84" s="3">
        <v>0</v>
      </c>
      <c r="J84" s="12" t="str">
        <f t="shared" si="7"/>
        <v>REORDER NOW</v>
      </c>
    </row>
    <row r="85" spans="1:10">
      <c r="A85" s="12" t="str">
        <f>SKU_Master!A85</f>
        <v>SKU0084</v>
      </c>
      <c r="B85" s="12" t="str">
        <f>ABC_Analysis!G85</f>
        <v>A</v>
      </c>
      <c r="C85" s="12">
        <f>Demand_Stats!C85</f>
        <v>20.97</v>
      </c>
      <c r="D85" s="12">
        <f>Demand_Stats!D85</f>
        <v>10.36</v>
      </c>
      <c r="E85" s="12">
        <f>SKU_Master!F85</f>
        <v>4</v>
      </c>
      <c r="F85" s="12">
        <f t="shared" si="4"/>
        <v>2.05</v>
      </c>
      <c r="G85" s="12">
        <f t="shared" si="5"/>
        <v>42.5</v>
      </c>
      <c r="H85" s="12">
        <f t="shared" si="6"/>
        <v>126.4</v>
      </c>
      <c r="I85" s="3">
        <v>61</v>
      </c>
      <c r="J85" s="12" t="str">
        <f t="shared" si="7"/>
        <v>REORDER NOW</v>
      </c>
    </row>
    <row r="86" spans="1:10">
      <c r="A86" s="12" t="str">
        <f>SKU_Master!A86</f>
        <v>SKU0085</v>
      </c>
      <c r="B86" s="12" t="str">
        <f>ABC_Analysis!G86</f>
        <v>B</v>
      </c>
      <c r="C86" s="12">
        <f>Demand_Stats!C86</f>
        <v>25.36</v>
      </c>
      <c r="D86" s="12">
        <f>Demand_Stats!D86</f>
        <v>14.14</v>
      </c>
      <c r="E86" s="12">
        <f>SKU_Master!F86</f>
        <v>10</v>
      </c>
      <c r="F86" s="12">
        <f t="shared" si="4"/>
        <v>1.65</v>
      </c>
      <c r="G86" s="12">
        <f t="shared" si="5"/>
        <v>73.8</v>
      </c>
      <c r="H86" s="12">
        <f t="shared" si="6"/>
        <v>327.4</v>
      </c>
      <c r="I86" s="3">
        <v>0</v>
      </c>
      <c r="J86" s="12" t="str">
        <f t="shared" si="7"/>
        <v>REORDER NOW</v>
      </c>
    </row>
    <row r="87" spans="1:10">
      <c r="A87" s="12" t="str">
        <f>SKU_Master!A87</f>
        <v>SKU0086</v>
      </c>
      <c r="B87" s="12" t="str">
        <f>ABC_Analysis!G87</f>
        <v>C</v>
      </c>
      <c r="C87" s="12">
        <f>Demand_Stats!C87</f>
        <v>28.54</v>
      </c>
      <c r="D87" s="12">
        <f>Demand_Stats!D87</f>
        <v>15.17</v>
      </c>
      <c r="E87" s="12">
        <f>SKU_Master!F87</f>
        <v>5</v>
      </c>
      <c r="F87" s="12">
        <f t="shared" si="4"/>
        <v>1.28</v>
      </c>
      <c r="G87" s="12">
        <f t="shared" si="5"/>
        <v>43.4</v>
      </c>
      <c r="H87" s="12">
        <f t="shared" si="6"/>
        <v>186.1</v>
      </c>
      <c r="I87" s="3">
        <v>0</v>
      </c>
      <c r="J87" s="12" t="str">
        <f t="shared" si="7"/>
        <v>REORDER NOW</v>
      </c>
    </row>
    <row r="88" spans="1:10">
      <c r="A88" s="12" t="str">
        <f>SKU_Master!A88</f>
        <v>SKU0087</v>
      </c>
      <c r="B88" s="12" t="str">
        <f>ABC_Analysis!G88</f>
        <v>A</v>
      </c>
      <c r="C88" s="12">
        <f>Demand_Stats!C88</f>
        <v>48.13</v>
      </c>
      <c r="D88" s="12">
        <f>Demand_Stats!D88</f>
        <v>24.06</v>
      </c>
      <c r="E88" s="12">
        <f>SKU_Master!F88</f>
        <v>3</v>
      </c>
      <c r="F88" s="12">
        <f t="shared" si="4"/>
        <v>2.05</v>
      </c>
      <c r="G88" s="12">
        <f t="shared" si="5"/>
        <v>85.4</v>
      </c>
      <c r="H88" s="12">
        <f t="shared" si="6"/>
        <v>229.8</v>
      </c>
      <c r="I88" s="3">
        <v>0</v>
      </c>
      <c r="J88" s="12" t="str">
        <f t="shared" si="7"/>
        <v>REORDER NOW</v>
      </c>
    </row>
    <row r="89" spans="1:10">
      <c r="A89" s="12" t="str">
        <f>SKU_Master!A89</f>
        <v>SKU0088</v>
      </c>
      <c r="B89" s="12" t="str">
        <f>ABC_Analysis!G89</f>
        <v>B</v>
      </c>
      <c r="C89" s="12">
        <f>Demand_Stats!C89</f>
        <v>20.76</v>
      </c>
      <c r="D89" s="12">
        <f>Demand_Stats!D89</f>
        <v>9.3</v>
      </c>
      <c r="E89" s="12">
        <f>SKU_Master!F89</f>
        <v>3</v>
      </c>
      <c r="F89" s="12">
        <f t="shared" si="4"/>
        <v>1.65</v>
      </c>
      <c r="G89" s="12">
        <f t="shared" si="5"/>
        <v>26.6</v>
      </c>
      <c r="H89" s="12">
        <f t="shared" si="6"/>
        <v>88.9</v>
      </c>
      <c r="I89" s="3">
        <v>0</v>
      </c>
      <c r="J89" s="12" t="str">
        <f t="shared" si="7"/>
        <v>REORDER NOW</v>
      </c>
    </row>
    <row r="90" spans="1:10">
      <c r="A90" s="12" t="str">
        <f>SKU_Master!A90</f>
        <v>SKU0089</v>
      </c>
      <c r="B90" s="12" t="str">
        <f>ABC_Analysis!G90</f>
        <v>A</v>
      </c>
      <c r="C90" s="12">
        <f>Demand_Stats!C90</f>
        <v>42.99</v>
      </c>
      <c r="D90" s="12">
        <f>Demand_Stats!D90</f>
        <v>19.15</v>
      </c>
      <c r="E90" s="12">
        <f>SKU_Master!F90</f>
        <v>4</v>
      </c>
      <c r="F90" s="12">
        <f t="shared" si="4"/>
        <v>2.05</v>
      </c>
      <c r="G90" s="12">
        <f t="shared" si="5"/>
        <v>78.5</v>
      </c>
      <c r="H90" s="12">
        <f t="shared" si="6"/>
        <v>250.5</v>
      </c>
      <c r="I90" s="3">
        <v>50</v>
      </c>
      <c r="J90" s="12" t="str">
        <f t="shared" si="7"/>
        <v>REORDER NOW</v>
      </c>
    </row>
    <row r="91" spans="1:10">
      <c r="A91" s="12" t="str">
        <f>SKU_Master!A91</f>
        <v>SKU0090</v>
      </c>
      <c r="B91" s="12" t="str">
        <f>ABC_Analysis!G91</f>
        <v>B</v>
      </c>
      <c r="C91" s="12">
        <f>Demand_Stats!C91</f>
        <v>16.71</v>
      </c>
      <c r="D91" s="12">
        <f>Demand_Stats!D91</f>
        <v>9.2</v>
      </c>
      <c r="E91" s="12">
        <f>SKU_Master!F91</f>
        <v>5</v>
      </c>
      <c r="F91" s="12">
        <f t="shared" si="4"/>
        <v>1.65</v>
      </c>
      <c r="G91" s="12">
        <f t="shared" si="5"/>
        <v>33.9</v>
      </c>
      <c r="H91" s="12">
        <f t="shared" si="6"/>
        <v>117.5</v>
      </c>
      <c r="I91" s="3">
        <v>86</v>
      </c>
      <c r="J91" s="12" t="str">
        <f t="shared" si="7"/>
        <v>REORDER NOW</v>
      </c>
    </row>
    <row r="92" spans="1:10">
      <c r="A92" s="12" t="str">
        <f>SKU_Master!A92</f>
        <v>SKU0091</v>
      </c>
      <c r="B92" s="12" t="str">
        <f>ABC_Analysis!G92</f>
        <v>C</v>
      </c>
      <c r="C92" s="12">
        <f>Demand_Stats!C92</f>
        <v>9.07</v>
      </c>
      <c r="D92" s="12">
        <f>Demand_Stats!D92</f>
        <v>5.42</v>
      </c>
      <c r="E92" s="12">
        <f>SKU_Master!F92</f>
        <v>14</v>
      </c>
      <c r="F92" s="12">
        <f t="shared" si="4"/>
        <v>1.28</v>
      </c>
      <c r="G92" s="12">
        <f t="shared" si="5"/>
        <v>26</v>
      </c>
      <c r="H92" s="12">
        <f t="shared" si="6"/>
        <v>153</v>
      </c>
      <c r="I92" s="3">
        <v>18</v>
      </c>
      <c r="J92" s="12" t="str">
        <f t="shared" si="7"/>
        <v>REORDER NOW</v>
      </c>
    </row>
    <row r="93" spans="1:10">
      <c r="A93" s="12" t="str">
        <f>SKU_Master!A93</f>
        <v>SKU0092</v>
      </c>
      <c r="B93" s="12" t="str">
        <f>ABC_Analysis!G93</f>
        <v>C</v>
      </c>
      <c r="C93" s="12">
        <f>Demand_Stats!C93</f>
        <v>31.03</v>
      </c>
      <c r="D93" s="12">
        <f>Demand_Stats!D93</f>
        <v>17.03</v>
      </c>
      <c r="E93" s="12">
        <f>SKU_Master!F93</f>
        <v>3</v>
      </c>
      <c r="F93" s="12">
        <f t="shared" si="4"/>
        <v>1.28</v>
      </c>
      <c r="G93" s="12">
        <f t="shared" si="5"/>
        <v>37.8</v>
      </c>
      <c r="H93" s="12">
        <f t="shared" si="6"/>
        <v>130.9</v>
      </c>
      <c r="I93" s="3">
        <v>0</v>
      </c>
      <c r="J93" s="12" t="str">
        <f t="shared" si="7"/>
        <v>REORDER NOW</v>
      </c>
    </row>
    <row r="94" spans="1:10">
      <c r="A94" s="12" t="str">
        <f>SKU_Master!A94</f>
        <v>SKU0093</v>
      </c>
      <c r="B94" s="12" t="str">
        <f>ABC_Analysis!G94</f>
        <v>C</v>
      </c>
      <c r="C94" s="12">
        <f>Demand_Stats!C94</f>
        <v>16.8</v>
      </c>
      <c r="D94" s="12">
        <f>Demand_Stats!D94</f>
        <v>9.71</v>
      </c>
      <c r="E94" s="12">
        <f>SKU_Master!F94</f>
        <v>3</v>
      </c>
      <c r="F94" s="12">
        <f t="shared" si="4"/>
        <v>1.28</v>
      </c>
      <c r="G94" s="12">
        <f t="shared" si="5"/>
        <v>21.5</v>
      </c>
      <c r="H94" s="12">
        <f t="shared" si="6"/>
        <v>71.9</v>
      </c>
      <c r="I94" s="3">
        <v>0</v>
      </c>
      <c r="J94" s="12" t="str">
        <f t="shared" si="7"/>
        <v>REORDER NOW</v>
      </c>
    </row>
    <row r="95" spans="1:10">
      <c r="A95" s="12" t="str">
        <f>SKU_Master!A95</f>
        <v>SKU0094</v>
      </c>
      <c r="B95" s="12" t="str">
        <f>ABC_Analysis!G95</f>
        <v>A</v>
      </c>
      <c r="C95" s="12">
        <f>Demand_Stats!C95</f>
        <v>31.17</v>
      </c>
      <c r="D95" s="12">
        <f>Demand_Stats!D95</f>
        <v>15.88</v>
      </c>
      <c r="E95" s="12">
        <f>SKU_Master!F95</f>
        <v>4</v>
      </c>
      <c r="F95" s="12">
        <f t="shared" si="4"/>
        <v>2.05</v>
      </c>
      <c r="G95" s="12">
        <f t="shared" si="5"/>
        <v>65.1</v>
      </c>
      <c r="H95" s="12">
        <f t="shared" si="6"/>
        <v>189.8</v>
      </c>
      <c r="I95" s="3">
        <v>60</v>
      </c>
      <c r="J95" s="12" t="str">
        <f t="shared" si="7"/>
        <v>REORDER NOW</v>
      </c>
    </row>
    <row r="96" spans="1:10">
      <c r="A96" s="12" t="str">
        <f>SKU_Master!A96</f>
        <v>SKU0095</v>
      </c>
      <c r="B96" s="12" t="str">
        <f>ABC_Analysis!G96</f>
        <v>C</v>
      </c>
      <c r="C96" s="12">
        <f>Demand_Stats!C96</f>
        <v>18.82</v>
      </c>
      <c r="D96" s="12">
        <f>Demand_Stats!D96</f>
        <v>8.93</v>
      </c>
      <c r="E96" s="12">
        <f>SKU_Master!F96</f>
        <v>4</v>
      </c>
      <c r="F96" s="12">
        <f t="shared" si="4"/>
        <v>1.28</v>
      </c>
      <c r="G96" s="12">
        <f t="shared" si="5"/>
        <v>22.9</v>
      </c>
      <c r="H96" s="12">
        <f t="shared" si="6"/>
        <v>98.2</v>
      </c>
      <c r="I96" s="3">
        <v>124</v>
      </c>
      <c r="J96" s="12" t="str">
        <f t="shared" si="7"/>
        <v>OK</v>
      </c>
    </row>
    <row r="97" spans="1:10">
      <c r="A97" s="12" t="str">
        <f>SKU_Master!A97</f>
        <v>SKU0096</v>
      </c>
      <c r="B97" s="12" t="str">
        <f>ABC_Analysis!G97</f>
        <v>C</v>
      </c>
      <c r="C97" s="12">
        <f>Demand_Stats!C97</f>
        <v>39.79</v>
      </c>
      <c r="D97" s="12">
        <f>Demand_Stats!D97</f>
        <v>20.89</v>
      </c>
      <c r="E97" s="12">
        <f>SKU_Master!F97</f>
        <v>3</v>
      </c>
      <c r="F97" s="12">
        <f t="shared" si="4"/>
        <v>1.28</v>
      </c>
      <c r="G97" s="12">
        <f t="shared" si="5"/>
        <v>46.3</v>
      </c>
      <c r="H97" s="12">
        <f t="shared" si="6"/>
        <v>165.7</v>
      </c>
      <c r="I97" s="3">
        <v>0</v>
      </c>
      <c r="J97" s="12" t="str">
        <f t="shared" si="7"/>
        <v>REORDER NOW</v>
      </c>
    </row>
    <row r="98" spans="1:10">
      <c r="A98" s="12" t="str">
        <f>SKU_Master!A98</f>
        <v>SKU0097</v>
      </c>
      <c r="B98" s="12" t="str">
        <f>ABC_Analysis!G98</f>
        <v>C</v>
      </c>
      <c r="C98" s="12">
        <f>Demand_Stats!C98</f>
        <v>9.21</v>
      </c>
      <c r="D98" s="12">
        <f>Demand_Stats!D98</f>
        <v>4.88</v>
      </c>
      <c r="E98" s="12">
        <f>SKU_Master!F98</f>
        <v>2</v>
      </c>
      <c r="F98" s="12">
        <f t="shared" si="4"/>
        <v>1.28</v>
      </c>
      <c r="G98" s="12">
        <f t="shared" si="5"/>
        <v>8.8</v>
      </c>
      <c r="H98" s="12">
        <f t="shared" si="6"/>
        <v>27.2</v>
      </c>
      <c r="I98" s="3">
        <v>69</v>
      </c>
      <c r="J98" s="12" t="str">
        <f t="shared" si="7"/>
        <v>OK</v>
      </c>
    </row>
    <row r="99" spans="1:10">
      <c r="A99" s="12" t="str">
        <f>SKU_Master!A99</f>
        <v>SKU0098</v>
      </c>
      <c r="B99" s="12" t="str">
        <f>ABC_Analysis!G99</f>
        <v>A</v>
      </c>
      <c r="C99" s="12">
        <f>Demand_Stats!C99</f>
        <v>47.18</v>
      </c>
      <c r="D99" s="12">
        <f>Demand_Stats!D99</f>
        <v>23.69</v>
      </c>
      <c r="E99" s="12">
        <f>SKU_Master!F99</f>
        <v>5</v>
      </c>
      <c r="F99" s="12">
        <f t="shared" si="4"/>
        <v>2.05</v>
      </c>
      <c r="G99" s="12">
        <f t="shared" si="5"/>
        <v>108.6</v>
      </c>
      <c r="H99" s="12">
        <f t="shared" si="6"/>
        <v>344.5</v>
      </c>
      <c r="I99" s="3">
        <v>0</v>
      </c>
      <c r="J99" s="12" t="str">
        <f t="shared" si="7"/>
        <v>REORDER NOW</v>
      </c>
    </row>
    <row r="100" spans="1:10">
      <c r="A100" s="12" t="str">
        <f>SKU_Master!A100</f>
        <v>SKU0099</v>
      </c>
      <c r="B100" s="12" t="str">
        <f>ABC_Analysis!G100</f>
        <v>C</v>
      </c>
      <c r="C100" s="12">
        <f>Demand_Stats!C100</f>
        <v>28.13</v>
      </c>
      <c r="D100" s="12">
        <f>Demand_Stats!D100</f>
        <v>13.54</v>
      </c>
      <c r="E100" s="12">
        <f>SKU_Master!F100</f>
        <v>5</v>
      </c>
      <c r="F100" s="12">
        <f t="shared" si="4"/>
        <v>1.28</v>
      </c>
      <c r="G100" s="12">
        <f t="shared" si="5"/>
        <v>38.8</v>
      </c>
      <c r="H100" s="12">
        <f t="shared" si="6"/>
        <v>179.5</v>
      </c>
      <c r="I100" s="3">
        <v>26</v>
      </c>
      <c r="J100" s="12" t="str">
        <f t="shared" si="7"/>
        <v>REORDER NOW</v>
      </c>
    </row>
    <row r="101" spans="1:10">
      <c r="A101" s="12" t="str">
        <f>SKU_Master!A101</f>
        <v>SKU0100</v>
      </c>
      <c r="B101" s="12" t="str">
        <f>ABC_Analysis!G101</f>
        <v>B</v>
      </c>
      <c r="C101" s="12">
        <f>Demand_Stats!C101</f>
        <v>27.21</v>
      </c>
      <c r="D101" s="12">
        <f>Demand_Stats!D101</f>
        <v>13.58</v>
      </c>
      <c r="E101" s="12">
        <f>SKU_Master!F101</f>
        <v>3</v>
      </c>
      <c r="F101" s="12">
        <f t="shared" si="4"/>
        <v>1.65</v>
      </c>
      <c r="G101" s="12">
        <f t="shared" si="5"/>
        <v>38.8</v>
      </c>
      <c r="H101" s="12">
        <f t="shared" si="6"/>
        <v>120.4</v>
      </c>
      <c r="I101" s="3">
        <v>0</v>
      </c>
      <c r="J101" s="12" t="str">
        <f t="shared" si="7"/>
        <v>REORDER NOW</v>
      </c>
    </row>
    <row r="102" spans="1:10">
      <c r="A102" s="12" t="str">
        <f>SKU_Master!A102</f>
        <v>SKU0101</v>
      </c>
      <c r="B102" s="12" t="str">
        <f>ABC_Analysis!G102</f>
        <v>C</v>
      </c>
      <c r="C102" s="12">
        <f>Demand_Stats!C102</f>
        <v>40.53</v>
      </c>
      <c r="D102" s="12">
        <f>Demand_Stats!D102</f>
        <v>21.03</v>
      </c>
      <c r="E102" s="12">
        <f>SKU_Master!F102</f>
        <v>7</v>
      </c>
      <c r="F102" s="12">
        <f t="shared" si="4"/>
        <v>1.28</v>
      </c>
      <c r="G102" s="12">
        <f t="shared" si="5"/>
        <v>71.2</v>
      </c>
      <c r="H102" s="12">
        <f t="shared" si="6"/>
        <v>354.9</v>
      </c>
      <c r="I102" s="3">
        <v>20</v>
      </c>
      <c r="J102" s="12" t="str">
        <f t="shared" si="7"/>
        <v>REORDER NOW</v>
      </c>
    </row>
    <row r="103" spans="1:10">
      <c r="A103" s="12" t="str">
        <f>SKU_Master!A103</f>
        <v>SKU0102</v>
      </c>
      <c r="B103" s="12" t="str">
        <f>ABC_Analysis!G103</f>
        <v>C</v>
      </c>
      <c r="C103" s="12">
        <f>Demand_Stats!C103</f>
        <v>40.69</v>
      </c>
      <c r="D103" s="12">
        <f>Demand_Stats!D103</f>
        <v>19.51</v>
      </c>
      <c r="E103" s="12">
        <f>SKU_Master!F103</f>
        <v>3</v>
      </c>
      <c r="F103" s="12">
        <f t="shared" si="4"/>
        <v>1.28</v>
      </c>
      <c r="G103" s="12">
        <f t="shared" si="5"/>
        <v>43.3</v>
      </c>
      <c r="H103" s="12">
        <f t="shared" si="6"/>
        <v>165.4</v>
      </c>
      <c r="I103" s="3">
        <v>0</v>
      </c>
      <c r="J103" s="12" t="str">
        <f t="shared" si="7"/>
        <v>REORDER NOW</v>
      </c>
    </row>
    <row r="104" spans="1:10">
      <c r="A104" s="12" t="str">
        <f>SKU_Master!A104</f>
        <v>SKU0103</v>
      </c>
      <c r="B104" s="12" t="str">
        <f>ABC_Analysis!G104</f>
        <v>B</v>
      </c>
      <c r="C104" s="12">
        <f>Demand_Stats!C104</f>
        <v>13.04</v>
      </c>
      <c r="D104" s="12">
        <f>Demand_Stats!D104</f>
        <v>6.61</v>
      </c>
      <c r="E104" s="12">
        <f>SKU_Master!F104</f>
        <v>10</v>
      </c>
      <c r="F104" s="12">
        <f t="shared" si="4"/>
        <v>1.65</v>
      </c>
      <c r="G104" s="12">
        <f t="shared" si="5"/>
        <v>34.5</v>
      </c>
      <c r="H104" s="12">
        <f t="shared" si="6"/>
        <v>164.9</v>
      </c>
      <c r="I104" s="3">
        <v>0</v>
      </c>
      <c r="J104" s="12" t="str">
        <f t="shared" si="7"/>
        <v>REORDER NOW</v>
      </c>
    </row>
    <row r="105" spans="1:10">
      <c r="A105" s="12" t="str">
        <f>SKU_Master!A105</f>
        <v>SKU0104</v>
      </c>
      <c r="B105" s="12" t="str">
        <f>ABC_Analysis!G105</f>
        <v>A</v>
      </c>
      <c r="C105" s="12">
        <f>Demand_Stats!C105</f>
        <v>38.74</v>
      </c>
      <c r="D105" s="12">
        <f>Demand_Stats!D105</f>
        <v>19.15</v>
      </c>
      <c r="E105" s="12">
        <f>SKU_Master!F105</f>
        <v>7</v>
      </c>
      <c r="F105" s="12">
        <f t="shared" si="4"/>
        <v>2.05</v>
      </c>
      <c r="G105" s="12">
        <f t="shared" si="5"/>
        <v>103.9</v>
      </c>
      <c r="H105" s="12">
        <f t="shared" si="6"/>
        <v>375.1</v>
      </c>
      <c r="I105" s="3">
        <v>27</v>
      </c>
      <c r="J105" s="12" t="str">
        <f t="shared" si="7"/>
        <v>REORDER NOW</v>
      </c>
    </row>
    <row r="106" spans="1:10">
      <c r="A106" s="12" t="str">
        <f>SKU_Master!A106</f>
        <v>SKU0105</v>
      </c>
      <c r="B106" s="12" t="str">
        <f>ABC_Analysis!G106</f>
        <v>A</v>
      </c>
      <c r="C106" s="12">
        <f>Demand_Stats!C106</f>
        <v>34.69</v>
      </c>
      <c r="D106" s="12">
        <f>Demand_Stats!D106</f>
        <v>17.79</v>
      </c>
      <c r="E106" s="12">
        <f>SKU_Master!F106</f>
        <v>5</v>
      </c>
      <c r="F106" s="12">
        <f t="shared" si="4"/>
        <v>2.05</v>
      </c>
      <c r="G106" s="12">
        <f t="shared" si="5"/>
        <v>81.5</v>
      </c>
      <c r="H106" s="12">
        <f t="shared" si="6"/>
        <v>255</v>
      </c>
      <c r="I106" s="3">
        <v>0</v>
      </c>
      <c r="J106" s="12" t="str">
        <f t="shared" si="7"/>
        <v>REORDER NOW</v>
      </c>
    </row>
    <row r="107" spans="1:10">
      <c r="A107" s="12" t="str">
        <f>SKU_Master!A107</f>
        <v>SKU0106</v>
      </c>
      <c r="B107" s="12" t="str">
        <f>ABC_Analysis!G107</f>
        <v>B</v>
      </c>
      <c r="C107" s="12">
        <f>Demand_Stats!C107</f>
        <v>40.51</v>
      </c>
      <c r="D107" s="12">
        <f>Demand_Stats!D107</f>
        <v>19.87</v>
      </c>
      <c r="E107" s="12">
        <f>SKU_Master!F107</f>
        <v>4</v>
      </c>
      <c r="F107" s="12">
        <f t="shared" si="4"/>
        <v>1.65</v>
      </c>
      <c r="G107" s="12">
        <f t="shared" si="5"/>
        <v>65.6</v>
      </c>
      <c r="H107" s="12">
        <f t="shared" si="6"/>
        <v>227.6</v>
      </c>
      <c r="I107" s="3">
        <v>0</v>
      </c>
      <c r="J107" s="12" t="str">
        <f t="shared" si="7"/>
        <v>REORDER NOW</v>
      </c>
    </row>
    <row r="108" spans="1:10">
      <c r="A108" s="12" t="str">
        <f>SKU_Master!A108</f>
        <v>SKU0107</v>
      </c>
      <c r="B108" s="12" t="str">
        <f>ABC_Analysis!G108</f>
        <v>B</v>
      </c>
      <c r="C108" s="12">
        <f>Demand_Stats!C108</f>
        <v>68.93</v>
      </c>
      <c r="D108" s="12">
        <f>Demand_Stats!D108</f>
        <v>34.13</v>
      </c>
      <c r="E108" s="12">
        <f>SKU_Master!F108</f>
        <v>4</v>
      </c>
      <c r="F108" s="12">
        <f t="shared" si="4"/>
        <v>1.65</v>
      </c>
      <c r="G108" s="12">
        <f t="shared" si="5"/>
        <v>112.6</v>
      </c>
      <c r="H108" s="12">
        <f t="shared" si="6"/>
        <v>388.3</v>
      </c>
      <c r="I108" s="3">
        <v>0</v>
      </c>
      <c r="J108" s="12" t="str">
        <f t="shared" si="7"/>
        <v>REORDER NOW</v>
      </c>
    </row>
    <row r="109" spans="1:10">
      <c r="A109" s="12" t="str">
        <f>SKU_Master!A109</f>
        <v>SKU0108</v>
      </c>
      <c r="B109" s="12" t="str">
        <f>ABC_Analysis!G109</f>
        <v>C</v>
      </c>
      <c r="C109" s="12">
        <f>Demand_Stats!C109</f>
        <v>72.62</v>
      </c>
      <c r="D109" s="12">
        <f>Demand_Stats!D109</f>
        <v>35.99</v>
      </c>
      <c r="E109" s="12">
        <f>SKU_Master!F109</f>
        <v>3</v>
      </c>
      <c r="F109" s="12">
        <f t="shared" si="4"/>
        <v>1.28</v>
      </c>
      <c r="G109" s="12">
        <f t="shared" si="5"/>
        <v>79.8</v>
      </c>
      <c r="H109" s="12">
        <f t="shared" si="6"/>
        <v>297.7</v>
      </c>
      <c r="I109" s="3">
        <v>0</v>
      </c>
      <c r="J109" s="12" t="str">
        <f t="shared" si="7"/>
        <v>REORDER NOW</v>
      </c>
    </row>
    <row r="110" spans="1:10">
      <c r="A110" s="12" t="str">
        <f>SKU_Master!A110</f>
        <v>SKU0109</v>
      </c>
      <c r="B110" s="12" t="str">
        <f>ABC_Analysis!G110</f>
        <v>B</v>
      </c>
      <c r="C110" s="12">
        <f>Demand_Stats!C110</f>
        <v>59.59</v>
      </c>
      <c r="D110" s="12">
        <f>Demand_Stats!D110</f>
        <v>30.32</v>
      </c>
      <c r="E110" s="12">
        <f>SKU_Master!F110</f>
        <v>7</v>
      </c>
      <c r="F110" s="12">
        <f t="shared" si="4"/>
        <v>1.65</v>
      </c>
      <c r="G110" s="12">
        <f t="shared" si="5"/>
        <v>132.4</v>
      </c>
      <c r="H110" s="12">
        <f t="shared" si="6"/>
        <v>549.5</v>
      </c>
      <c r="I110" s="3">
        <v>58</v>
      </c>
      <c r="J110" s="12" t="str">
        <f t="shared" si="7"/>
        <v>REORDER NOW</v>
      </c>
    </row>
    <row r="111" spans="1:10">
      <c r="A111" s="12" t="str">
        <f>SKU_Master!A111</f>
        <v>SKU0110</v>
      </c>
      <c r="B111" s="12" t="str">
        <f>ABC_Analysis!G111</f>
        <v>B</v>
      </c>
      <c r="C111" s="12">
        <f>Demand_Stats!C111</f>
        <v>26.9</v>
      </c>
      <c r="D111" s="12">
        <f>Demand_Stats!D111</f>
        <v>13.82</v>
      </c>
      <c r="E111" s="12">
        <f>SKU_Master!F111</f>
        <v>7</v>
      </c>
      <c r="F111" s="12">
        <f t="shared" si="4"/>
        <v>1.65</v>
      </c>
      <c r="G111" s="12">
        <f t="shared" si="5"/>
        <v>60.3</v>
      </c>
      <c r="H111" s="12">
        <f t="shared" si="6"/>
        <v>248.6</v>
      </c>
      <c r="I111" s="3">
        <v>18</v>
      </c>
      <c r="J111" s="12" t="str">
        <f t="shared" si="7"/>
        <v>REORDER NOW</v>
      </c>
    </row>
    <row r="112" spans="1:10">
      <c r="A112" s="12" t="str">
        <f>SKU_Master!A112</f>
        <v>SKU0111</v>
      </c>
      <c r="B112" s="12" t="str">
        <f>ABC_Analysis!G112</f>
        <v>B</v>
      </c>
      <c r="C112" s="12">
        <f>Demand_Stats!C112</f>
        <v>38.98</v>
      </c>
      <c r="D112" s="12">
        <f>Demand_Stats!D112</f>
        <v>17.96</v>
      </c>
      <c r="E112" s="12">
        <f>SKU_Master!F112</f>
        <v>3</v>
      </c>
      <c r="F112" s="12">
        <f t="shared" si="4"/>
        <v>1.65</v>
      </c>
      <c r="G112" s="12">
        <f t="shared" si="5"/>
        <v>51.3</v>
      </c>
      <c r="H112" s="12">
        <f t="shared" si="6"/>
        <v>168.2</v>
      </c>
      <c r="I112" s="3">
        <v>0</v>
      </c>
      <c r="J112" s="12" t="str">
        <f t="shared" si="7"/>
        <v>REORDER NOW</v>
      </c>
    </row>
    <row r="113" spans="1:10">
      <c r="A113" s="12" t="str">
        <f>SKU_Master!A113</f>
        <v>SKU0112</v>
      </c>
      <c r="B113" s="12" t="str">
        <f>ABC_Analysis!G113</f>
        <v>B</v>
      </c>
      <c r="C113" s="12">
        <f>Demand_Stats!C113</f>
        <v>27.21</v>
      </c>
      <c r="D113" s="12">
        <f>Demand_Stats!D113</f>
        <v>14.07</v>
      </c>
      <c r="E113" s="12">
        <f>SKU_Master!F113</f>
        <v>4</v>
      </c>
      <c r="F113" s="12">
        <f t="shared" si="4"/>
        <v>1.65</v>
      </c>
      <c r="G113" s="12">
        <f t="shared" si="5"/>
        <v>46.4</v>
      </c>
      <c r="H113" s="12">
        <f t="shared" si="6"/>
        <v>155.2</v>
      </c>
      <c r="I113" s="3">
        <v>0</v>
      </c>
      <c r="J113" s="12" t="str">
        <f t="shared" si="7"/>
        <v>REORDER NOW</v>
      </c>
    </row>
    <row r="114" spans="1:10">
      <c r="A114" s="12" t="str">
        <f>SKU_Master!A114</f>
        <v>SKU0113</v>
      </c>
      <c r="B114" s="12" t="str">
        <f>ABC_Analysis!G114</f>
        <v>C</v>
      </c>
      <c r="C114" s="12">
        <f>Demand_Stats!C114</f>
        <v>30.46</v>
      </c>
      <c r="D114" s="12">
        <f>Demand_Stats!D114</f>
        <v>13.62</v>
      </c>
      <c r="E114" s="12">
        <f>SKU_Master!F114</f>
        <v>2</v>
      </c>
      <c r="F114" s="12">
        <f t="shared" si="4"/>
        <v>1.28</v>
      </c>
      <c r="G114" s="12">
        <f t="shared" si="5"/>
        <v>24.7</v>
      </c>
      <c r="H114" s="12">
        <f t="shared" si="6"/>
        <v>85.6</v>
      </c>
      <c r="I114" s="3">
        <v>134</v>
      </c>
      <c r="J114" s="12" t="str">
        <f t="shared" si="7"/>
        <v>OK</v>
      </c>
    </row>
    <row r="115" spans="1:10">
      <c r="A115" s="12" t="str">
        <f>SKU_Master!A115</f>
        <v>SKU0114</v>
      </c>
      <c r="B115" s="12" t="str">
        <f>ABC_Analysis!G115</f>
        <v>C</v>
      </c>
      <c r="C115" s="12">
        <f>Demand_Stats!C115</f>
        <v>31.79</v>
      </c>
      <c r="D115" s="12">
        <f>Demand_Stats!D115</f>
        <v>15.45</v>
      </c>
      <c r="E115" s="12">
        <f>SKU_Master!F115</f>
        <v>2</v>
      </c>
      <c r="F115" s="12">
        <f t="shared" si="4"/>
        <v>1.28</v>
      </c>
      <c r="G115" s="12">
        <f t="shared" si="5"/>
        <v>28</v>
      </c>
      <c r="H115" s="12">
        <f t="shared" si="6"/>
        <v>91.6</v>
      </c>
      <c r="I115" s="3">
        <v>135</v>
      </c>
      <c r="J115" s="12" t="str">
        <f t="shared" si="7"/>
        <v>OK</v>
      </c>
    </row>
    <row r="116" spans="1:10">
      <c r="A116" s="12" t="str">
        <f>SKU_Master!A116</f>
        <v>SKU0115</v>
      </c>
      <c r="B116" s="12" t="str">
        <f>ABC_Analysis!G116</f>
        <v>C</v>
      </c>
      <c r="C116" s="12">
        <f>Demand_Stats!C116</f>
        <v>33.44</v>
      </c>
      <c r="D116" s="12">
        <f>Demand_Stats!D116</f>
        <v>17.03</v>
      </c>
      <c r="E116" s="12">
        <f>SKU_Master!F116</f>
        <v>7</v>
      </c>
      <c r="F116" s="12">
        <f t="shared" si="4"/>
        <v>1.28</v>
      </c>
      <c r="G116" s="12">
        <f t="shared" si="5"/>
        <v>57.7</v>
      </c>
      <c r="H116" s="12">
        <f t="shared" si="6"/>
        <v>291.8</v>
      </c>
      <c r="I116" s="3">
        <v>185</v>
      </c>
      <c r="J116" s="12" t="str">
        <f t="shared" si="7"/>
        <v>REORDER NOW</v>
      </c>
    </row>
    <row r="117" spans="1:10">
      <c r="A117" s="12" t="str">
        <f>SKU_Master!A117</f>
        <v>SKU0116</v>
      </c>
      <c r="B117" s="12" t="str">
        <f>ABC_Analysis!G117</f>
        <v>C</v>
      </c>
      <c r="C117" s="12">
        <f>Demand_Stats!C117</f>
        <v>33.4</v>
      </c>
      <c r="D117" s="12">
        <f>Demand_Stats!D117</f>
        <v>17.29</v>
      </c>
      <c r="E117" s="12">
        <f>SKU_Master!F117</f>
        <v>5</v>
      </c>
      <c r="F117" s="12">
        <f t="shared" si="4"/>
        <v>1.28</v>
      </c>
      <c r="G117" s="12">
        <f t="shared" si="5"/>
        <v>49.5</v>
      </c>
      <c r="H117" s="12">
        <f t="shared" si="6"/>
        <v>216.5</v>
      </c>
      <c r="I117" s="3">
        <v>0</v>
      </c>
      <c r="J117" s="12" t="str">
        <f t="shared" si="7"/>
        <v>REORDER NOW</v>
      </c>
    </row>
    <row r="118" spans="1:10">
      <c r="A118" s="12" t="str">
        <f>SKU_Master!A118</f>
        <v>SKU0117</v>
      </c>
      <c r="B118" s="12" t="str">
        <f>ABC_Analysis!G118</f>
        <v>C</v>
      </c>
      <c r="C118" s="12">
        <f>Demand_Stats!C118</f>
        <v>30.06</v>
      </c>
      <c r="D118" s="12">
        <f>Demand_Stats!D118</f>
        <v>15.46</v>
      </c>
      <c r="E118" s="12">
        <f>SKU_Master!F118</f>
        <v>3</v>
      </c>
      <c r="F118" s="12">
        <f t="shared" si="4"/>
        <v>1.28</v>
      </c>
      <c r="G118" s="12">
        <f t="shared" si="5"/>
        <v>34.3</v>
      </c>
      <c r="H118" s="12">
        <f t="shared" si="6"/>
        <v>124.5</v>
      </c>
      <c r="I118" s="3">
        <v>0</v>
      </c>
      <c r="J118" s="12" t="str">
        <f t="shared" si="7"/>
        <v>REORDER NOW</v>
      </c>
    </row>
    <row r="119" spans="1:10">
      <c r="A119" s="12" t="str">
        <f>SKU_Master!A119</f>
        <v>SKU0118</v>
      </c>
      <c r="B119" s="12" t="str">
        <f>ABC_Analysis!G119</f>
        <v>B</v>
      </c>
      <c r="C119" s="12">
        <f>Demand_Stats!C119</f>
        <v>61.43</v>
      </c>
      <c r="D119" s="12">
        <f>Demand_Stats!D119</f>
        <v>29.82</v>
      </c>
      <c r="E119" s="12">
        <f>SKU_Master!F119</f>
        <v>3</v>
      </c>
      <c r="F119" s="12">
        <f t="shared" si="4"/>
        <v>1.65</v>
      </c>
      <c r="G119" s="12">
        <f t="shared" si="5"/>
        <v>85.2</v>
      </c>
      <c r="H119" s="12">
        <f t="shared" si="6"/>
        <v>269.5</v>
      </c>
      <c r="I119" s="3">
        <v>0</v>
      </c>
      <c r="J119" s="12" t="str">
        <f t="shared" si="7"/>
        <v>REORDER NOW</v>
      </c>
    </row>
    <row r="120" spans="1:10">
      <c r="A120" s="12" t="str">
        <f>SKU_Master!A120</f>
        <v>SKU0119</v>
      </c>
      <c r="B120" s="12" t="str">
        <f>ABC_Analysis!G120</f>
        <v>B</v>
      </c>
      <c r="C120" s="12">
        <f>Demand_Stats!C120</f>
        <v>40.84</v>
      </c>
      <c r="D120" s="12">
        <f>Demand_Stats!D120</f>
        <v>20.33</v>
      </c>
      <c r="E120" s="12">
        <f>SKU_Master!F120</f>
        <v>4</v>
      </c>
      <c r="F120" s="12">
        <f t="shared" si="4"/>
        <v>1.65</v>
      </c>
      <c r="G120" s="12">
        <f t="shared" si="5"/>
        <v>67.1</v>
      </c>
      <c r="H120" s="12">
        <f t="shared" si="6"/>
        <v>230.5</v>
      </c>
      <c r="I120" s="3">
        <v>0</v>
      </c>
      <c r="J120" s="12" t="str">
        <f t="shared" si="7"/>
        <v>REORDER NOW</v>
      </c>
    </row>
    <row r="121" spans="1:10">
      <c r="A121" s="12" t="str">
        <f>SKU_Master!A121</f>
        <v>SKU0120</v>
      </c>
      <c r="B121" s="12" t="str">
        <f>ABC_Analysis!G121</f>
        <v>B</v>
      </c>
      <c r="C121" s="12">
        <f>Demand_Stats!C121</f>
        <v>47.6</v>
      </c>
      <c r="D121" s="12">
        <f>Demand_Stats!D121</f>
        <v>23.12</v>
      </c>
      <c r="E121" s="12">
        <f>SKU_Master!F121</f>
        <v>3</v>
      </c>
      <c r="F121" s="12">
        <f t="shared" si="4"/>
        <v>1.65</v>
      </c>
      <c r="G121" s="12">
        <f t="shared" si="5"/>
        <v>66.1</v>
      </c>
      <c r="H121" s="12">
        <f t="shared" si="6"/>
        <v>208.9</v>
      </c>
      <c r="I121" s="3">
        <v>0</v>
      </c>
      <c r="J121" s="12" t="str">
        <f t="shared" si="7"/>
        <v>REORDER NOW</v>
      </c>
    </row>
    <row r="122" spans="1:10">
      <c r="A122" s="12" t="str">
        <f>SKU_Master!A122</f>
        <v>SKU0121</v>
      </c>
      <c r="B122" s="12" t="str">
        <f>ABC_Analysis!G122</f>
        <v>B</v>
      </c>
      <c r="C122" s="12">
        <f>Demand_Stats!C122</f>
        <v>47.53</v>
      </c>
      <c r="D122" s="12">
        <f>Demand_Stats!D122</f>
        <v>23.09</v>
      </c>
      <c r="E122" s="12">
        <f>SKU_Master!F122</f>
        <v>4</v>
      </c>
      <c r="F122" s="12">
        <f t="shared" si="4"/>
        <v>1.65</v>
      </c>
      <c r="G122" s="12">
        <f t="shared" si="5"/>
        <v>76.2</v>
      </c>
      <c r="H122" s="12">
        <f t="shared" si="6"/>
        <v>266.3</v>
      </c>
      <c r="I122" s="3">
        <v>0</v>
      </c>
      <c r="J122" s="12" t="str">
        <f t="shared" si="7"/>
        <v>REORDER NOW</v>
      </c>
    </row>
    <row r="123" spans="1:10">
      <c r="A123" s="12" t="str">
        <f>SKU_Master!A123</f>
        <v>SKU0122</v>
      </c>
      <c r="B123" s="12" t="str">
        <f>ABC_Analysis!G123</f>
        <v>C</v>
      </c>
      <c r="C123" s="12">
        <f>Demand_Stats!C123</f>
        <v>44.1</v>
      </c>
      <c r="D123" s="12">
        <f>Demand_Stats!D123</f>
        <v>23.01</v>
      </c>
      <c r="E123" s="12">
        <f>SKU_Master!F123</f>
        <v>14</v>
      </c>
      <c r="F123" s="12">
        <f t="shared" si="4"/>
        <v>1.28</v>
      </c>
      <c r="G123" s="12">
        <f t="shared" si="5"/>
        <v>110.2</v>
      </c>
      <c r="H123" s="12">
        <f t="shared" si="6"/>
        <v>727.6</v>
      </c>
      <c r="I123" s="3">
        <v>24</v>
      </c>
      <c r="J123" s="12" t="str">
        <f t="shared" si="7"/>
        <v>REORDER NOW</v>
      </c>
    </row>
    <row r="124" spans="1:10">
      <c r="A124" s="12" t="str">
        <f>SKU_Master!A124</f>
        <v>SKU0123</v>
      </c>
      <c r="B124" s="12" t="str">
        <f>ABC_Analysis!G124</f>
        <v>C</v>
      </c>
      <c r="C124" s="12">
        <f>Demand_Stats!C124</f>
        <v>23.03</v>
      </c>
      <c r="D124" s="12">
        <f>Demand_Stats!D124</f>
        <v>10.27</v>
      </c>
      <c r="E124" s="12">
        <f>SKU_Master!F124</f>
        <v>10</v>
      </c>
      <c r="F124" s="12">
        <f t="shared" si="4"/>
        <v>1.28</v>
      </c>
      <c r="G124" s="12">
        <f t="shared" si="5"/>
        <v>41.6</v>
      </c>
      <c r="H124" s="12">
        <f t="shared" si="6"/>
        <v>271.9</v>
      </c>
      <c r="I124" s="3">
        <v>0</v>
      </c>
      <c r="J124" s="12" t="str">
        <f t="shared" si="7"/>
        <v>REORDER NOW</v>
      </c>
    </row>
    <row r="125" spans="1:10">
      <c r="A125" s="12" t="str">
        <f>SKU_Master!A125</f>
        <v>SKU0124</v>
      </c>
      <c r="B125" s="12" t="str">
        <f>ABC_Analysis!G125</f>
        <v>B</v>
      </c>
      <c r="C125" s="12">
        <f>Demand_Stats!C125</f>
        <v>76.03</v>
      </c>
      <c r="D125" s="12">
        <f>Demand_Stats!D125</f>
        <v>37.42</v>
      </c>
      <c r="E125" s="12">
        <f>SKU_Master!F125</f>
        <v>7</v>
      </c>
      <c r="F125" s="12">
        <f t="shared" si="4"/>
        <v>1.65</v>
      </c>
      <c r="G125" s="12">
        <f t="shared" si="5"/>
        <v>163.4</v>
      </c>
      <c r="H125" s="12">
        <f t="shared" si="6"/>
        <v>695.6</v>
      </c>
      <c r="I125" s="3">
        <v>58</v>
      </c>
      <c r="J125" s="12" t="str">
        <f t="shared" si="7"/>
        <v>REORDER NOW</v>
      </c>
    </row>
    <row r="126" spans="1:10">
      <c r="A126" s="12" t="str">
        <f>SKU_Master!A126</f>
        <v>SKU0125</v>
      </c>
      <c r="B126" s="12" t="str">
        <f>ABC_Analysis!G126</f>
        <v>C</v>
      </c>
      <c r="C126" s="12">
        <f>Demand_Stats!C126</f>
        <v>35.89</v>
      </c>
      <c r="D126" s="12">
        <f>Demand_Stats!D126</f>
        <v>17.68</v>
      </c>
      <c r="E126" s="12">
        <f>SKU_Master!F126</f>
        <v>7</v>
      </c>
      <c r="F126" s="12">
        <f t="shared" si="4"/>
        <v>1.28</v>
      </c>
      <c r="G126" s="12">
        <f t="shared" si="5"/>
        <v>59.9</v>
      </c>
      <c r="H126" s="12">
        <f t="shared" si="6"/>
        <v>311.1</v>
      </c>
      <c r="I126" s="3">
        <v>39</v>
      </c>
      <c r="J126" s="12" t="str">
        <f t="shared" si="7"/>
        <v>REORDER NOW</v>
      </c>
    </row>
    <row r="127" spans="1:10">
      <c r="A127" s="12" t="str">
        <f>SKU_Master!A127</f>
        <v>SKU0126</v>
      </c>
      <c r="B127" s="12" t="str">
        <f>ABC_Analysis!G127</f>
        <v>A</v>
      </c>
      <c r="C127" s="12">
        <f>Demand_Stats!C127</f>
        <v>54.71</v>
      </c>
      <c r="D127" s="12">
        <f>Demand_Stats!D127</f>
        <v>27.09</v>
      </c>
      <c r="E127" s="12">
        <f>SKU_Master!F127</f>
        <v>2</v>
      </c>
      <c r="F127" s="12">
        <f t="shared" si="4"/>
        <v>2.05</v>
      </c>
      <c r="G127" s="12">
        <f t="shared" si="5"/>
        <v>78.5</v>
      </c>
      <c r="H127" s="12">
        <f t="shared" si="6"/>
        <v>187.9</v>
      </c>
      <c r="I127" s="3">
        <v>238</v>
      </c>
      <c r="J127" s="12" t="str">
        <f t="shared" si="7"/>
        <v>OK</v>
      </c>
    </row>
    <row r="128" spans="1:10">
      <c r="A128" s="12" t="str">
        <f>SKU_Master!A128</f>
        <v>SKU0127</v>
      </c>
      <c r="B128" s="12" t="str">
        <f>ABC_Analysis!G128</f>
        <v>C</v>
      </c>
      <c r="C128" s="12">
        <f>Demand_Stats!C128</f>
        <v>38.29</v>
      </c>
      <c r="D128" s="12">
        <f>Demand_Stats!D128</f>
        <v>19.1</v>
      </c>
      <c r="E128" s="12">
        <f>SKU_Master!F128</f>
        <v>10</v>
      </c>
      <c r="F128" s="12">
        <f t="shared" si="4"/>
        <v>1.28</v>
      </c>
      <c r="G128" s="12">
        <f t="shared" si="5"/>
        <v>77.3</v>
      </c>
      <c r="H128" s="12">
        <f t="shared" si="6"/>
        <v>460.2</v>
      </c>
      <c r="I128" s="3">
        <v>0</v>
      </c>
      <c r="J128" s="12" t="str">
        <f t="shared" si="7"/>
        <v>REORDER NOW</v>
      </c>
    </row>
    <row r="129" spans="1:10">
      <c r="A129" s="12" t="str">
        <f>SKU_Master!A129</f>
        <v>SKU0128</v>
      </c>
      <c r="B129" s="12" t="str">
        <f>ABC_Analysis!G129</f>
        <v>A</v>
      </c>
      <c r="C129" s="12">
        <f>Demand_Stats!C129</f>
        <v>73.44</v>
      </c>
      <c r="D129" s="12">
        <f>Demand_Stats!D129</f>
        <v>36.35</v>
      </c>
      <c r="E129" s="12">
        <f>SKU_Master!F129</f>
        <v>3</v>
      </c>
      <c r="F129" s="12">
        <f t="shared" si="4"/>
        <v>2.05</v>
      </c>
      <c r="G129" s="12">
        <f t="shared" si="5"/>
        <v>129.1</v>
      </c>
      <c r="H129" s="12">
        <f t="shared" si="6"/>
        <v>349.4</v>
      </c>
      <c r="I129" s="3">
        <v>0</v>
      </c>
      <c r="J129" s="12" t="str">
        <f t="shared" si="7"/>
        <v>REORDER NOW</v>
      </c>
    </row>
    <row r="130" spans="1:10">
      <c r="A130" s="12" t="str">
        <f>SKU_Master!A130</f>
        <v>SKU0129</v>
      </c>
      <c r="B130" s="12" t="str">
        <f>ABC_Analysis!G130</f>
        <v>C</v>
      </c>
      <c r="C130" s="12">
        <f>Demand_Stats!C130</f>
        <v>69.5</v>
      </c>
      <c r="D130" s="12">
        <f>Demand_Stats!D130</f>
        <v>33.67</v>
      </c>
      <c r="E130" s="12">
        <f>SKU_Master!F130</f>
        <v>7</v>
      </c>
      <c r="F130" s="12">
        <f t="shared" ref="F130:F151" si="8">IF(B130="A",2.05,IF(B130="B",1.65,1.28))</f>
        <v>1.28</v>
      </c>
      <c r="G130" s="12">
        <f t="shared" ref="G130:G151" si="9">ROUND(F130*D130*SQRT(E130),1)</f>
        <v>114</v>
      </c>
      <c r="H130" s="12">
        <f t="shared" ref="H130:H151" si="10">ROUND((C130*E130)+G130,1)</f>
        <v>600.5</v>
      </c>
      <c r="I130" s="3">
        <v>117</v>
      </c>
      <c r="J130" s="12" t="str">
        <f t="shared" ref="J130:J151" si="11">IF(I130&lt;=H130,"REORDER NOW","OK")</f>
        <v>REORDER NOW</v>
      </c>
    </row>
    <row r="131" spans="1:10">
      <c r="A131" s="12" t="str">
        <f>SKU_Master!A131</f>
        <v>SKU0130</v>
      </c>
      <c r="B131" s="12" t="str">
        <f>ABC_Analysis!G131</f>
        <v>C</v>
      </c>
      <c r="C131" s="12">
        <f>Demand_Stats!C131</f>
        <v>40.08</v>
      </c>
      <c r="D131" s="12">
        <f>Demand_Stats!D131</f>
        <v>21.47</v>
      </c>
      <c r="E131" s="12">
        <f>SKU_Master!F131</f>
        <v>5</v>
      </c>
      <c r="F131" s="12">
        <f t="shared" si="8"/>
        <v>1.28</v>
      </c>
      <c r="G131" s="12">
        <f t="shared" si="9"/>
        <v>61.5</v>
      </c>
      <c r="H131" s="12">
        <f t="shared" si="10"/>
        <v>261.9</v>
      </c>
      <c r="I131" s="3">
        <v>0</v>
      </c>
      <c r="J131" s="12" t="str">
        <f t="shared" si="11"/>
        <v>REORDER NOW</v>
      </c>
    </row>
    <row r="132" spans="1:10">
      <c r="A132" s="12" t="str">
        <f>SKU_Master!A132</f>
        <v>SKU0131</v>
      </c>
      <c r="B132" s="12" t="str">
        <f>ABC_Analysis!G132</f>
        <v>C</v>
      </c>
      <c r="C132" s="12">
        <f>Demand_Stats!C132</f>
        <v>75.18</v>
      </c>
      <c r="D132" s="12">
        <f>Demand_Stats!D132</f>
        <v>37.73</v>
      </c>
      <c r="E132" s="12">
        <f>SKU_Master!F132</f>
        <v>4</v>
      </c>
      <c r="F132" s="12">
        <f t="shared" si="8"/>
        <v>1.28</v>
      </c>
      <c r="G132" s="12">
        <f t="shared" si="9"/>
        <v>96.6</v>
      </c>
      <c r="H132" s="12">
        <f t="shared" si="10"/>
        <v>397.3</v>
      </c>
      <c r="I132" s="3">
        <v>0</v>
      </c>
      <c r="J132" s="12" t="str">
        <f t="shared" si="11"/>
        <v>REORDER NOW</v>
      </c>
    </row>
    <row r="133" spans="1:10">
      <c r="A133" s="12" t="str">
        <f>SKU_Master!A133</f>
        <v>SKU0132</v>
      </c>
      <c r="B133" s="12" t="str">
        <f>ABC_Analysis!G133</f>
        <v>C</v>
      </c>
      <c r="C133" s="12">
        <f>Demand_Stats!C133</f>
        <v>33.3</v>
      </c>
      <c r="D133" s="12">
        <f>Demand_Stats!D133</f>
        <v>17.62</v>
      </c>
      <c r="E133" s="12">
        <f>SKU_Master!F133</f>
        <v>3</v>
      </c>
      <c r="F133" s="12">
        <f t="shared" si="8"/>
        <v>1.28</v>
      </c>
      <c r="G133" s="12">
        <f t="shared" si="9"/>
        <v>39.1</v>
      </c>
      <c r="H133" s="12">
        <f t="shared" si="10"/>
        <v>139</v>
      </c>
      <c r="I133" s="3">
        <v>12</v>
      </c>
      <c r="J133" s="12" t="str">
        <f t="shared" si="11"/>
        <v>REORDER NOW</v>
      </c>
    </row>
    <row r="134" spans="1:10">
      <c r="A134" s="12" t="str">
        <f>SKU_Master!A134</f>
        <v>SKU0133</v>
      </c>
      <c r="B134" s="12" t="str">
        <f>ABC_Analysis!G134</f>
        <v>C</v>
      </c>
      <c r="C134" s="12">
        <f>Demand_Stats!C134</f>
        <v>44.31</v>
      </c>
      <c r="D134" s="12">
        <f>Demand_Stats!D134</f>
        <v>21.9</v>
      </c>
      <c r="E134" s="12">
        <f>SKU_Master!F134</f>
        <v>3</v>
      </c>
      <c r="F134" s="12">
        <f t="shared" si="8"/>
        <v>1.28</v>
      </c>
      <c r="G134" s="12">
        <f t="shared" si="9"/>
        <v>48.6</v>
      </c>
      <c r="H134" s="12">
        <f t="shared" si="10"/>
        <v>181.5</v>
      </c>
      <c r="I134" s="3">
        <v>0</v>
      </c>
      <c r="J134" s="12" t="str">
        <f t="shared" si="11"/>
        <v>REORDER NOW</v>
      </c>
    </row>
    <row r="135" spans="1:10">
      <c r="A135" s="12" t="str">
        <f>SKU_Master!A135</f>
        <v>SKU0134</v>
      </c>
      <c r="B135" s="12" t="str">
        <f>ABC_Analysis!G135</f>
        <v>B</v>
      </c>
      <c r="C135" s="12">
        <f>Demand_Stats!C135</f>
        <v>88.36</v>
      </c>
      <c r="D135" s="12">
        <f>Demand_Stats!D135</f>
        <v>41.4</v>
      </c>
      <c r="E135" s="12">
        <f>SKU_Master!F135</f>
        <v>7</v>
      </c>
      <c r="F135" s="12">
        <f t="shared" si="8"/>
        <v>1.65</v>
      </c>
      <c r="G135" s="12">
        <f t="shared" si="9"/>
        <v>180.7</v>
      </c>
      <c r="H135" s="12">
        <f t="shared" si="10"/>
        <v>799.2</v>
      </c>
      <c r="I135" s="3">
        <v>97</v>
      </c>
      <c r="J135" s="12" t="str">
        <f t="shared" si="11"/>
        <v>REORDER NOW</v>
      </c>
    </row>
    <row r="136" spans="1:10">
      <c r="A136" s="12" t="str">
        <f>SKU_Master!A136</f>
        <v>SKU0135</v>
      </c>
      <c r="B136" s="12" t="str">
        <f>ABC_Analysis!G136</f>
        <v>B</v>
      </c>
      <c r="C136" s="12">
        <f>Demand_Stats!C136</f>
        <v>105.92</v>
      </c>
      <c r="D136" s="12">
        <f>Demand_Stats!D136</f>
        <v>49.08</v>
      </c>
      <c r="E136" s="12">
        <f>SKU_Master!F136</f>
        <v>2</v>
      </c>
      <c r="F136" s="12">
        <f t="shared" si="8"/>
        <v>1.65</v>
      </c>
      <c r="G136" s="12">
        <f t="shared" si="9"/>
        <v>114.5</v>
      </c>
      <c r="H136" s="12">
        <f t="shared" si="10"/>
        <v>326.3</v>
      </c>
      <c r="I136" s="3">
        <v>458</v>
      </c>
      <c r="J136" s="12" t="str">
        <f t="shared" si="11"/>
        <v>OK</v>
      </c>
    </row>
    <row r="137" spans="1:10">
      <c r="A137" s="12" t="str">
        <f>SKU_Master!A137</f>
        <v>SKU0136</v>
      </c>
      <c r="B137" s="12" t="str">
        <f>ABC_Analysis!G137</f>
        <v>B</v>
      </c>
      <c r="C137" s="12">
        <f>Demand_Stats!C137</f>
        <v>65.47</v>
      </c>
      <c r="D137" s="12">
        <f>Demand_Stats!D137</f>
        <v>33.38</v>
      </c>
      <c r="E137" s="12">
        <f>SKU_Master!F137</f>
        <v>4</v>
      </c>
      <c r="F137" s="12">
        <f t="shared" si="8"/>
        <v>1.65</v>
      </c>
      <c r="G137" s="12">
        <f t="shared" si="9"/>
        <v>110.2</v>
      </c>
      <c r="H137" s="12">
        <f t="shared" si="10"/>
        <v>372.1</v>
      </c>
      <c r="I137" s="3">
        <v>0</v>
      </c>
      <c r="J137" s="12" t="str">
        <f t="shared" si="11"/>
        <v>REORDER NOW</v>
      </c>
    </row>
    <row r="138" spans="1:10">
      <c r="A138" s="12" t="str">
        <f>SKU_Master!A138</f>
        <v>SKU0137</v>
      </c>
      <c r="B138" s="12" t="str">
        <f>ABC_Analysis!G138</f>
        <v>B</v>
      </c>
      <c r="C138" s="12">
        <f>Demand_Stats!C138</f>
        <v>121.74</v>
      </c>
      <c r="D138" s="12">
        <f>Demand_Stats!D138</f>
        <v>60.64</v>
      </c>
      <c r="E138" s="12">
        <f>SKU_Master!F138</f>
        <v>14</v>
      </c>
      <c r="F138" s="12">
        <f t="shared" si="8"/>
        <v>1.65</v>
      </c>
      <c r="G138" s="12">
        <f t="shared" si="9"/>
        <v>374.4</v>
      </c>
      <c r="H138" s="12">
        <f t="shared" si="10"/>
        <v>2078.8</v>
      </c>
      <c r="I138" s="3">
        <v>17</v>
      </c>
      <c r="J138" s="12" t="str">
        <f t="shared" si="11"/>
        <v>REORDER NOW</v>
      </c>
    </row>
    <row r="139" spans="1:10">
      <c r="A139" s="12" t="str">
        <f>SKU_Master!A139</f>
        <v>SKU0138</v>
      </c>
      <c r="B139" s="12" t="str">
        <f>ABC_Analysis!G139</f>
        <v>C</v>
      </c>
      <c r="C139" s="12">
        <f>Demand_Stats!C139</f>
        <v>100.5</v>
      </c>
      <c r="D139" s="12">
        <f>Demand_Stats!D139</f>
        <v>48.12</v>
      </c>
      <c r="E139" s="12">
        <f>SKU_Master!F139</f>
        <v>3</v>
      </c>
      <c r="F139" s="12">
        <f t="shared" si="8"/>
        <v>1.28</v>
      </c>
      <c r="G139" s="12">
        <f t="shared" si="9"/>
        <v>106.7</v>
      </c>
      <c r="H139" s="12">
        <f t="shared" si="10"/>
        <v>408.2</v>
      </c>
      <c r="I139" s="3">
        <v>0</v>
      </c>
      <c r="J139" s="12" t="str">
        <f t="shared" si="11"/>
        <v>REORDER NOW</v>
      </c>
    </row>
    <row r="140" spans="1:10">
      <c r="A140" s="12" t="str">
        <f>SKU_Master!A140</f>
        <v>SKU0139</v>
      </c>
      <c r="B140" s="12" t="str">
        <f>ABC_Analysis!G140</f>
        <v>C</v>
      </c>
      <c r="C140" s="12">
        <f>Demand_Stats!C140</f>
        <v>122.42</v>
      </c>
      <c r="D140" s="12">
        <f>Demand_Stats!D140</f>
        <v>58.32</v>
      </c>
      <c r="E140" s="12">
        <f>SKU_Master!F140</f>
        <v>3</v>
      </c>
      <c r="F140" s="12">
        <f t="shared" si="8"/>
        <v>1.28</v>
      </c>
      <c r="G140" s="12">
        <f t="shared" si="9"/>
        <v>129.3</v>
      </c>
      <c r="H140" s="12">
        <f t="shared" si="10"/>
        <v>496.6</v>
      </c>
      <c r="I140" s="3">
        <v>0</v>
      </c>
      <c r="J140" s="12" t="str">
        <f t="shared" si="11"/>
        <v>REORDER NOW</v>
      </c>
    </row>
    <row r="141" spans="1:10">
      <c r="A141" s="12" t="str">
        <f>SKU_Master!A141</f>
        <v>SKU0140</v>
      </c>
      <c r="B141" s="12" t="str">
        <f>ABC_Analysis!G141</f>
        <v>B</v>
      </c>
      <c r="C141" s="12">
        <f>Demand_Stats!C141</f>
        <v>112.83</v>
      </c>
      <c r="D141" s="12">
        <f>Demand_Stats!D141</f>
        <v>56.76</v>
      </c>
      <c r="E141" s="12">
        <f>SKU_Master!F141</f>
        <v>2</v>
      </c>
      <c r="F141" s="12">
        <f t="shared" si="8"/>
        <v>1.65</v>
      </c>
      <c r="G141" s="12">
        <f t="shared" si="9"/>
        <v>132.4</v>
      </c>
      <c r="H141" s="12">
        <f t="shared" si="10"/>
        <v>358.1</v>
      </c>
      <c r="I141" s="3">
        <v>532</v>
      </c>
      <c r="J141" s="12" t="str">
        <f t="shared" si="11"/>
        <v>OK</v>
      </c>
    </row>
    <row r="142" spans="1:10">
      <c r="A142" s="12" t="str">
        <f>SKU_Master!A142</f>
        <v>SKU0141</v>
      </c>
      <c r="B142" s="12" t="str">
        <f>ABC_Analysis!G142</f>
        <v>B</v>
      </c>
      <c r="C142" s="12">
        <f>Demand_Stats!C142</f>
        <v>129.57</v>
      </c>
      <c r="D142" s="12">
        <f>Demand_Stats!D142</f>
        <v>61.83</v>
      </c>
      <c r="E142" s="12">
        <f>SKU_Master!F142</f>
        <v>14</v>
      </c>
      <c r="F142" s="12">
        <f t="shared" si="8"/>
        <v>1.65</v>
      </c>
      <c r="G142" s="12">
        <f t="shared" si="9"/>
        <v>381.7</v>
      </c>
      <c r="H142" s="12">
        <f t="shared" si="10"/>
        <v>2195.7</v>
      </c>
      <c r="I142" s="3">
        <v>140</v>
      </c>
      <c r="J142" s="12" t="str">
        <f t="shared" si="11"/>
        <v>REORDER NOW</v>
      </c>
    </row>
    <row r="143" spans="1:10">
      <c r="A143" s="12" t="str">
        <f>SKU_Master!A143</f>
        <v>SKU0142</v>
      </c>
      <c r="B143" s="12" t="str">
        <f>ABC_Analysis!G143</f>
        <v>C</v>
      </c>
      <c r="C143" s="12">
        <f>Demand_Stats!C143</f>
        <v>101.16</v>
      </c>
      <c r="D143" s="12">
        <f>Demand_Stats!D143</f>
        <v>48.58</v>
      </c>
      <c r="E143" s="12">
        <f>SKU_Master!F143</f>
        <v>2</v>
      </c>
      <c r="F143" s="12">
        <f t="shared" si="8"/>
        <v>1.28</v>
      </c>
      <c r="G143" s="12">
        <f t="shared" si="9"/>
        <v>87.9</v>
      </c>
      <c r="H143" s="12">
        <f t="shared" si="10"/>
        <v>290.2</v>
      </c>
      <c r="I143" s="3">
        <v>450</v>
      </c>
      <c r="J143" s="12" t="str">
        <f t="shared" si="11"/>
        <v>OK</v>
      </c>
    </row>
    <row r="144" spans="1:10">
      <c r="A144" s="12" t="str">
        <f>SKU_Master!A144</f>
        <v>SKU0143</v>
      </c>
      <c r="B144" s="12" t="str">
        <f>ABC_Analysis!G144</f>
        <v>B</v>
      </c>
      <c r="C144" s="12">
        <f>Demand_Stats!C144</f>
        <v>139.01</v>
      </c>
      <c r="D144" s="12">
        <f>Demand_Stats!D144</f>
        <v>66.38</v>
      </c>
      <c r="E144" s="12">
        <f>SKU_Master!F144</f>
        <v>14</v>
      </c>
      <c r="F144" s="12">
        <f t="shared" si="8"/>
        <v>1.65</v>
      </c>
      <c r="G144" s="12">
        <f t="shared" si="9"/>
        <v>409.8</v>
      </c>
      <c r="H144" s="12">
        <f t="shared" si="10"/>
        <v>2355.9</v>
      </c>
      <c r="I144" s="3">
        <v>0</v>
      </c>
      <c r="J144" s="12" t="str">
        <f t="shared" si="11"/>
        <v>REORDER NOW</v>
      </c>
    </row>
    <row r="145" spans="1:10">
      <c r="A145" s="12" t="str">
        <f>SKU_Master!A145</f>
        <v>SKU0144</v>
      </c>
      <c r="B145" s="12" t="str">
        <f>ABC_Analysis!G145</f>
        <v>C</v>
      </c>
      <c r="C145" s="12">
        <f>Demand_Stats!C145</f>
        <v>77.09</v>
      </c>
      <c r="D145" s="12">
        <f>Demand_Stats!D145</f>
        <v>36.69</v>
      </c>
      <c r="E145" s="12">
        <f>SKU_Master!F145</f>
        <v>2</v>
      </c>
      <c r="F145" s="12">
        <f t="shared" si="8"/>
        <v>1.28</v>
      </c>
      <c r="G145" s="12">
        <f t="shared" si="9"/>
        <v>66.4</v>
      </c>
      <c r="H145" s="12">
        <f t="shared" si="10"/>
        <v>220.6</v>
      </c>
      <c r="I145" s="3">
        <v>332</v>
      </c>
      <c r="J145" s="12" t="str">
        <f t="shared" si="11"/>
        <v>OK</v>
      </c>
    </row>
    <row r="146" spans="1:10">
      <c r="A146" s="12" t="str">
        <f>SKU_Master!A146</f>
        <v>SKU0145</v>
      </c>
      <c r="B146" s="12" t="str">
        <f>ABC_Analysis!G146</f>
        <v>B</v>
      </c>
      <c r="C146" s="12">
        <f>Demand_Stats!C146</f>
        <v>64.46</v>
      </c>
      <c r="D146" s="12">
        <f>Demand_Stats!D146</f>
        <v>30.07</v>
      </c>
      <c r="E146" s="12">
        <f>SKU_Master!F146</f>
        <v>7</v>
      </c>
      <c r="F146" s="12">
        <f t="shared" si="8"/>
        <v>1.65</v>
      </c>
      <c r="G146" s="12">
        <f t="shared" si="9"/>
        <v>131.3</v>
      </c>
      <c r="H146" s="12">
        <f t="shared" si="10"/>
        <v>582.5</v>
      </c>
      <c r="I146" s="3">
        <v>104</v>
      </c>
      <c r="J146" s="12" t="str">
        <f t="shared" si="11"/>
        <v>REORDER NOW</v>
      </c>
    </row>
    <row r="147" spans="1:10">
      <c r="A147" s="12" t="str">
        <f>SKU_Master!A147</f>
        <v>SKU0146</v>
      </c>
      <c r="B147" s="12" t="str">
        <f>ABC_Analysis!G147</f>
        <v>C</v>
      </c>
      <c r="C147" s="12">
        <f>Demand_Stats!C147</f>
        <v>85.6</v>
      </c>
      <c r="D147" s="12">
        <f>Demand_Stats!D147</f>
        <v>42.76</v>
      </c>
      <c r="E147" s="12">
        <f>SKU_Master!F147</f>
        <v>2</v>
      </c>
      <c r="F147" s="12">
        <f t="shared" si="8"/>
        <v>1.28</v>
      </c>
      <c r="G147" s="12">
        <f t="shared" si="9"/>
        <v>77.4</v>
      </c>
      <c r="H147" s="12">
        <f t="shared" si="10"/>
        <v>248.6</v>
      </c>
      <c r="I147" s="3">
        <v>393</v>
      </c>
      <c r="J147" s="12" t="str">
        <f t="shared" si="11"/>
        <v>OK</v>
      </c>
    </row>
    <row r="148" spans="1:10">
      <c r="A148" s="12" t="str">
        <f>SKU_Master!A148</f>
        <v>SKU0147</v>
      </c>
      <c r="B148" s="12" t="str">
        <f>ABC_Analysis!G148</f>
        <v>B</v>
      </c>
      <c r="C148" s="12">
        <f>Demand_Stats!C148</f>
        <v>100.23</v>
      </c>
      <c r="D148" s="12">
        <f>Demand_Stats!D148</f>
        <v>49.34</v>
      </c>
      <c r="E148" s="12">
        <f>SKU_Master!F148</f>
        <v>7</v>
      </c>
      <c r="F148" s="12">
        <f t="shared" si="8"/>
        <v>1.65</v>
      </c>
      <c r="G148" s="12">
        <f t="shared" si="9"/>
        <v>215.4</v>
      </c>
      <c r="H148" s="12">
        <f t="shared" si="10"/>
        <v>917</v>
      </c>
      <c r="I148" s="3">
        <v>55</v>
      </c>
      <c r="J148" s="12" t="str">
        <f t="shared" si="11"/>
        <v>REORDER NOW</v>
      </c>
    </row>
    <row r="149" spans="1:10">
      <c r="A149" s="12" t="str">
        <f>SKU_Master!A149</f>
        <v>SKU0148</v>
      </c>
      <c r="B149" s="12" t="str">
        <f>ABC_Analysis!G149</f>
        <v>B</v>
      </c>
      <c r="C149" s="12">
        <f>Demand_Stats!C149</f>
        <v>117.58</v>
      </c>
      <c r="D149" s="12">
        <f>Demand_Stats!D149</f>
        <v>55.93</v>
      </c>
      <c r="E149" s="12">
        <f>SKU_Master!F149</f>
        <v>2</v>
      </c>
      <c r="F149" s="12">
        <f t="shared" si="8"/>
        <v>1.65</v>
      </c>
      <c r="G149" s="12">
        <f t="shared" si="9"/>
        <v>130.5</v>
      </c>
      <c r="H149" s="12">
        <f t="shared" si="10"/>
        <v>365.7</v>
      </c>
      <c r="I149" s="3">
        <v>530</v>
      </c>
      <c r="J149" s="12" t="str">
        <f t="shared" si="11"/>
        <v>OK</v>
      </c>
    </row>
    <row r="150" spans="1:10">
      <c r="A150" s="12" t="str">
        <f>SKU_Master!A150</f>
        <v>SKU0149</v>
      </c>
      <c r="B150" s="12" t="str">
        <f>ABC_Analysis!G150</f>
        <v>C</v>
      </c>
      <c r="C150" s="12">
        <f>Demand_Stats!C150</f>
        <v>79.86</v>
      </c>
      <c r="D150" s="12">
        <f>Demand_Stats!D150</f>
        <v>38.96</v>
      </c>
      <c r="E150" s="12">
        <f>SKU_Master!F150</f>
        <v>4</v>
      </c>
      <c r="F150" s="12">
        <f t="shared" si="8"/>
        <v>1.28</v>
      </c>
      <c r="G150" s="12">
        <f t="shared" si="9"/>
        <v>99.7</v>
      </c>
      <c r="H150" s="12">
        <f t="shared" si="10"/>
        <v>419.1</v>
      </c>
      <c r="I150" s="3">
        <v>0</v>
      </c>
      <c r="J150" s="12" t="str">
        <f t="shared" si="11"/>
        <v>REORDER NOW</v>
      </c>
    </row>
    <row r="151" spans="1:10">
      <c r="A151" s="12" t="str">
        <f>SKU_Master!A151</f>
        <v>SKU0150</v>
      </c>
      <c r="B151" s="12" t="str">
        <f>ABC_Analysis!G151</f>
        <v>C</v>
      </c>
      <c r="C151" s="12">
        <f>Demand_Stats!C151</f>
        <v>49.47</v>
      </c>
      <c r="D151" s="12">
        <f>Demand_Stats!D151</f>
        <v>24.62</v>
      </c>
      <c r="E151" s="12">
        <f>SKU_Master!F151</f>
        <v>3</v>
      </c>
      <c r="F151" s="12">
        <f t="shared" si="8"/>
        <v>1.28</v>
      </c>
      <c r="G151" s="12">
        <f t="shared" si="9"/>
        <v>54.6</v>
      </c>
      <c r="H151" s="12">
        <f t="shared" si="10"/>
        <v>203</v>
      </c>
      <c r="I151" s="3">
        <v>0</v>
      </c>
      <c r="J151" s="12" t="str">
        <f t="shared" si="11"/>
        <v>REORDER NOW</v>
      </c>
    </row>
  </sheetData>
  <conditionalFormatting sqref="J2:J151">
    <cfRule type="cellIs" dxfId="2" priority="2" operator="equal">
      <formula>"REORDER NOW"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D10"/>
  <sheetViews>
    <sheetView workbookViewId="0">
      <selection activeCell="A1" sqref="A1"/>
    </sheetView>
  </sheetViews>
  <sheetFormatPr defaultColWidth="8.67592592592593" defaultRowHeight="14.4" outlineLevelCol="3"/>
  <cols>
    <col min="1" max="1" width="3" customWidth="1"/>
    <col min="2" max="2" width="50" customWidth="1"/>
    <col min="3" max="3" width="3" customWidth="1"/>
    <col min="4" max="4" width="16" customWidth="1"/>
  </cols>
  <sheetData>
    <row r="2" ht="15.6" spans="2:2">
      <c r="B2" s="1" t="s">
        <v>447</v>
      </c>
    </row>
    <row r="3" spans="2:2">
      <c r="B3" s="6" t="s">
        <v>448</v>
      </c>
    </row>
    <row r="5" spans="2:4">
      <c r="B5" s="8" t="s">
        <v>449</v>
      </c>
      <c r="D5" s="9">
        <v>0.8318</v>
      </c>
    </row>
    <row r="6" spans="2:4">
      <c r="B6" s="8" t="s">
        <v>450</v>
      </c>
      <c r="D6" s="9">
        <v>0.9969</v>
      </c>
    </row>
    <row r="7" spans="2:4">
      <c r="B7" s="8" t="s">
        <v>451</v>
      </c>
      <c r="D7" s="10">
        <v>16.5</v>
      </c>
    </row>
    <row r="8" spans="2:4">
      <c r="B8" s="8" t="s">
        <v>452</v>
      </c>
      <c r="D8" s="11">
        <v>509001</v>
      </c>
    </row>
    <row r="9" spans="2:4">
      <c r="B9" s="8" t="s">
        <v>453</v>
      </c>
      <c r="D9" s="11">
        <v>85604</v>
      </c>
    </row>
    <row r="10" spans="2:4">
      <c r="B10" s="8" t="s">
        <v>454</v>
      </c>
      <c r="D10" s="11">
        <v>1595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E30"/>
  <sheetViews>
    <sheetView workbookViewId="0">
      <selection activeCell="A1" sqref="A1"/>
    </sheetView>
  </sheetViews>
  <sheetFormatPr defaultColWidth="8.67592592592593" defaultRowHeight="14.4" outlineLevelCol="4"/>
  <cols>
    <col min="1" max="1" width="3" customWidth="1"/>
    <col min="2" max="2" width="26" customWidth="1"/>
    <col min="3" max="3" width="24" customWidth="1"/>
    <col min="4" max="4" width="16" customWidth="1"/>
    <col min="5" max="5" width="22" customWidth="1"/>
  </cols>
  <sheetData>
    <row r="2" ht="15.6" spans="2:2">
      <c r="B2" s="1" t="s">
        <v>455</v>
      </c>
    </row>
    <row r="4" spans="1:3">
      <c r="A4" s="2"/>
      <c r="B4" s="2" t="s">
        <v>456</v>
      </c>
      <c r="C4" s="4" t="s">
        <v>457</v>
      </c>
    </row>
    <row r="5" spans="2:3">
      <c r="B5" s="3" t="s">
        <v>458</v>
      </c>
      <c r="C5" s="5">
        <v>28.2187623569805</v>
      </c>
    </row>
    <row r="6" spans="2:3">
      <c r="B6" s="3" t="s">
        <v>459</v>
      </c>
      <c r="C6" s="5">
        <v>20.842026753767</v>
      </c>
    </row>
    <row r="7" spans="2:3">
      <c r="B7" s="3" t="s">
        <v>460</v>
      </c>
      <c r="C7" s="5">
        <v>13.9815810073761</v>
      </c>
    </row>
    <row r="8" spans="2:3">
      <c r="B8" s="3" t="s">
        <v>461</v>
      </c>
      <c r="C8" s="5">
        <v>14.2983935393252</v>
      </c>
    </row>
    <row r="10" spans="2:2">
      <c r="B10" s="6" t="s">
        <v>462</v>
      </c>
    </row>
    <row r="11" spans="2:2">
      <c r="B11" s="6" t="s">
        <v>463</v>
      </c>
    </row>
    <row r="14" spans="2:2">
      <c r="B14" s="7" t="s">
        <v>464</v>
      </c>
    </row>
    <row r="15" spans="1:5">
      <c r="A15" s="2"/>
      <c r="B15" s="2" t="s">
        <v>21</v>
      </c>
      <c r="C15" s="2" t="s">
        <v>23</v>
      </c>
      <c r="D15" s="2" t="s">
        <v>465</v>
      </c>
      <c r="E15" s="4" t="s">
        <v>466</v>
      </c>
    </row>
    <row r="16" spans="2:5">
      <c r="B16" s="3" t="s">
        <v>405</v>
      </c>
      <c r="C16" s="3" t="s">
        <v>379</v>
      </c>
      <c r="D16" s="3" t="s">
        <v>467</v>
      </c>
      <c r="E16" s="3">
        <v>908.1</v>
      </c>
    </row>
    <row r="17" spans="2:5">
      <c r="B17" s="3" t="s">
        <v>401</v>
      </c>
      <c r="C17" s="3" t="s">
        <v>379</v>
      </c>
      <c r="D17" s="3" t="s">
        <v>467</v>
      </c>
      <c r="E17" s="3">
        <v>906.6</v>
      </c>
    </row>
    <row r="18" spans="2:5">
      <c r="B18" s="3" t="s">
        <v>393</v>
      </c>
      <c r="C18" s="3" t="s">
        <v>379</v>
      </c>
      <c r="D18" s="3" t="s">
        <v>467</v>
      </c>
      <c r="E18" s="3">
        <v>903.1</v>
      </c>
    </row>
    <row r="19" spans="2:5">
      <c r="B19" s="3" t="s">
        <v>397</v>
      </c>
      <c r="C19" s="3" t="s">
        <v>379</v>
      </c>
      <c r="D19" s="3" t="s">
        <v>467</v>
      </c>
      <c r="E19" s="3">
        <v>882.2</v>
      </c>
    </row>
    <row r="20" spans="2:5">
      <c r="B20" s="3" t="s">
        <v>416</v>
      </c>
      <c r="C20" s="3" t="s">
        <v>379</v>
      </c>
      <c r="D20" s="3" t="s">
        <v>467</v>
      </c>
      <c r="E20" s="3">
        <v>807.9</v>
      </c>
    </row>
    <row r="21" spans="2:5">
      <c r="B21" s="3" t="s">
        <v>399</v>
      </c>
      <c r="C21" s="3" t="s">
        <v>379</v>
      </c>
      <c r="D21" s="3" t="s">
        <v>467</v>
      </c>
      <c r="E21" s="3">
        <v>637</v>
      </c>
    </row>
    <row r="22" spans="2:5">
      <c r="B22" s="3" t="s">
        <v>403</v>
      </c>
      <c r="C22" s="3" t="s">
        <v>379</v>
      </c>
      <c r="D22" s="3" t="s">
        <v>467</v>
      </c>
      <c r="E22" s="3">
        <v>629.3</v>
      </c>
    </row>
    <row r="23" spans="2:5">
      <c r="B23" s="3" t="s">
        <v>388</v>
      </c>
      <c r="C23" s="3" t="s">
        <v>379</v>
      </c>
      <c r="D23" s="3" t="s">
        <v>467</v>
      </c>
      <c r="E23" s="3">
        <v>621.8</v>
      </c>
    </row>
    <row r="24" spans="2:5">
      <c r="B24" s="3" t="s">
        <v>176</v>
      </c>
      <c r="C24" s="3" t="s">
        <v>149</v>
      </c>
      <c r="D24" s="3" t="s">
        <v>467</v>
      </c>
      <c r="E24" s="3">
        <v>610.1</v>
      </c>
    </row>
    <row r="25" spans="2:5">
      <c r="B25" s="3" t="s">
        <v>395</v>
      </c>
      <c r="C25" s="3" t="s">
        <v>379</v>
      </c>
      <c r="D25" s="3" t="s">
        <v>467</v>
      </c>
      <c r="E25" s="3">
        <v>608.4</v>
      </c>
    </row>
    <row r="26" spans="2:5">
      <c r="B26" s="3" t="s">
        <v>414</v>
      </c>
      <c r="C26" s="3" t="s">
        <v>379</v>
      </c>
      <c r="D26" s="3" t="s">
        <v>467</v>
      </c>
      <c r="E26" s="3">
        <v>607.6</v>
      </c>
    </row>
    <row r="27" spans="2:5">
      <c r="B27" s="3" t="s">
        <v>216</v>
      </c>
      <c r="C27" s="3" t="s">
        <v>149</v>
      </c>
      <c r="D27" s="3" t="s">
        <v>467</v>
      </c>
      <c r="E27" s="3">
        <v>607.3</v>
      </c>
    </row>
    <row r="28" spans="2:5">
      <c r="B28" s="3" t="s">
        <v>184</v>
      </c>
      <c r="C28" s="3" t="s">
        <v>149</v>
      </c>
      <c r="D28" s="3" t="s">
        <v>467</v>
      </c>
      <c r="E28" s="3">
        <v>605.2</v>
      </c>
    </row>
    <row r="29" spans="2:5">
      <c r="B29" s="3" t="s">
        <v>154</v>
      </c>
      <c r="C29" s="3" t="s">
        <v>149</v>
      </c>
      <c r="D29" s="3" t="s">
        <v>467</v>
      </c>
      <c r="E29" s="3">
        <v>605.1</v>
      </c>
    </row>
    <row r="30" spans="2:5">
      <c r="B30" s="3" t="s">
        <v>208</v>
      </c>
      <c r="C30" s="3" t="s">
        <v>149</v>
      </c>
      <c r="D30" s="3" t="s">
        <v>467</v>
      </c>
      <c r="E30" s="3">
        <v>604.1</v>
      </c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26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8.67592592592593" defaultRowHeight="14.4"/>
  <cols>
    <col min="1" max="1" width="10" customWidth="1"/>
    <col min="2" max="2" width="22" customWidth="1"/>
    <col min="3" max="3" width="24" customWidth="1"/>
    <col min="4" max="5" width="10" customWidth="1"/>
    <col min="6" max="7" width="13" customWidth="1"/>
    <col min="8" max="8" width="20" customWidth="1"/>
    <col min="9" max="9" width="11" customWidth="1"/>
    <col min="10" max="10" width="17" customWidth="1"/>
  </cols>
  <sheetData>
    <row r="1" ht="15.6" spans="2:2">
      <c r="B1" s="1" t="s">
        <v>468</v>
      </c>
    </row>
    <row r="3" ht="26.4" spans="1:10">
      <c r="A3" s="2" t="s">
        <v>21</v>
      </c>
      <c r="B3" s="2" t="s">
        <v>22</v>
      </c>
      <c r="C3" s="2" t="s">
        <v>23</v>
      </c>
      <c r="D3" s="2" t="s">
        <v>430</v>
      </c>
      <c r="E3" s="2" t="s">
        <v>469</v>
      </c>
      <c r="F3" s="2" t="s">
        <v>470</v>
      </c>
      <c r="G3" s="2" t="s">
        <v>26</v>
      </c>
      <c r="H3" s="2" t="s">
        <v>471</v>
      </c>
      <c r="I3" s="2" t="s">
        <v>472</v>
      </c>
      <c r="J3" s="2" t="s">
        <v>473</v>
      </c>
    </row>
    <row r="4" spans="1:10">
      <c r="A4" s="3" t="s">
        <v>29</v>
      </c>
      <c r="B4" s="3" t="s">
        <v>30</v>
      </c>
      <c r="C4" s="3" t="s">
        <v>31</v>
      </c>
      <c r="D4" s="3" t="s">
        <v>436</v>
      </c>
      <c r="E4" s="3">
        <v>0</v>
      </c>
      <c r="F4" s="3">
        <v>0</v>
      </c>
      <c r="G4" s="3">
        <v>5</v>
      </c>
      <c r="H4" s="3">
        <v>491.4</v>
      </c>
      <c r="I4" s="3" t="s">
        <v>474</v>
      </c>
      <c r="J4" s="3">
        <v>1446</v>
      </c>
    </row>
    <row r="5" spans="1:10">
      <c r="A5" s="3" t="s">
        <v>33</v>
      </c>
      <c r="B5" s="3" t="s">
        <v>34</v>
      </c>
      <c r="C5" s="3" t="s">
        <v>31</v>
      </c>
      <c r="D5" s="3" t="s">
        <v>436</v>
      </c>
      <c r="E5" s="3">
        <v>0</v>
      </c>
      <c r="F5" s="3">
        <v>0</v>
      </c>
      <c r="G5" s="3">
        <v>4</v>
      </c>
      <c r="H5" s="3">
        <v>269.4</v>
      </c>
      <c r="I5" s="3" t="s">
        <v>474</v>
      </c>
      <c r="J5" s="3">
        <v>761</v>
      </c>
    </row>
    <row r="6" spans="1:10">
      <c r="A6" s="3" t="s">
        <v>36</v>
      </c>
      <c r="B6" s="3" t="s">
        <v>37</v>
      </c>
      <c r="C6" s="3" t="s">
        <v>31</v>
      </c>
      <c r="D6" s="3" t="s">
        <v>436</v>
      </c>
      <c r="E6" s="3">
        <v>1</v>
      </c>
      <c r="F6" s="3">
        <v>0</v>
      </c>
      <c r="G6" s="3">
        <v>5</v>
      </c>
      <c r="H6" s="3">
        <v>493.3</v>
      </c>
      <c r="I6" s="3" t="s">
        <v>474</v>
      </c>
      <c r="J6" s="3">
        <v>1462</v>
      </c>
    </row>
    <row r="7" spans="1:10">
      <c r="A7" s="3" t="s">
        <v>45</v>
      </c>
      <c r="B7" s="3" t="s">
        <v>46</v>
      </c>
      <c r="C7" s="3" t="s">
        <v>31</v>
      </c>
      <c r="D7" s="3" t="s">
        <v>436</v>
      </c>
      <c r="E7" s="3">
        <v>18</v>
      </c>
      <c r="F7" s="3">
        <v>0.7</v>
      </c>
      <c r="G7" s="3">
        <v>7</v>
      </c>
      <c r="H7" s="3">
        <v>225.4</v>
      </c>
      <c r="I7" s="3" t="s">
        <v>474</v>
      </c>
      <c r="J7" s="3">
        <v>738</v>
      </c>
    </row>
    <row r="8" spans="1:10">
      <c r="A8" s="3" t="s">
        <v>48</v>
      </c>
      <c r="B8" s="3" t="s">
        <v>49</v>
      </c>
      <c r="C8" s="3" t="s">
        <v>31</v>
      </c>
      <c r="D8" s="3" t="s">
        <v>436</v>
      </c>
      <c r="E8" s="3">
        <v>0</v>
      </c>
      <c r="F8" s="3">
        <v>0</v>
      </c>
      <c r="G8" s="3">
        <v>5</v>
      </c>
      <c r="H8" s="3">
        <v>466.3</v>
      </c>
      <c r="I8" s="3" t="s">
        <v>474</v>
      </c>
      <c r="J8" s="3">
        <v>1374</v>
      </c>
    </row>
    <row r="9" spans="1:10">
      <c r="A9" s="3" t="s">
        <v>51</v>
      </c>
      <c r="B9" s="3" t="s">
        <v>52</v>
      </c>
      <c r="C9" s="3" t="s">
        <v>31</v>
      </c>
      <c r="D9" s="3" t="s">
        <v>436</v>
      </c>
      <c r="E9" s="3">
        <v>0</v>
      </c>
      <c r="F9" s="3">
        <v>0</v>
      </c>
      <c r="G9" s="3">
        <v>4</v>
      </c>
      <c r="H9" s="3">
        <v>421.2</v>
      </c>
      <c r="I9" s="3" t="s">
        <v>474</v>
      </c>
      <c r="J9" s="3">
        <v>1175</v>
      </c>
    </row>
    <row r="10" spans="1:10">
      <c r="A10" s="3" t="s">
        <v>53</v>
      </c>
      <c r="B10" s="3" t="s">
        <v>54</v>
      </c>
      <c r="C10" s="3" t="s">
        <v>31</v>
      </c>
      <c r="D10" s="3" t="s">
        <v>436</v>
      </c>
      <c r="E10" s="3">
        <v>21</v>
      </c>
      <c r="F10" s="3">
        <v>1.5</v>
      </c>
      <c r="G10" s="3">
        <v>4</v>
      </c>
      <c r="H10" s="3">
        <v>96.4</v>
      </c>
      <c r="I10" s="3" t="s">
        <v>474</v>
      </c>
      <c r="J10" s="3">
        <v>258</v>
      </c>
    </row>
    <row r="11" spans="1:10">
      <c r="A11" s="3" t="s">
        <v>56</v>
      </c>
      <c r="B11" s="3" t="s">
        <v>57</v>
      </c>
      <c r="C11" s="3" t="s">
        <v>31</v>
      </c>
      <c r="D11" s="3" t="s">
        <v>436</v>
      </c>
      <c r="E11" s="3">
        <v>0</v>
      </c>
      <c r="F11" s="3">
        <v>0</v>
      </c>
      <c r="G11" s="3">
        <v>3</v>
      </c>
      <c r="H11" s="3">
        <v>214.9</v>
      </c>
      <c r="I11" s="3" t="s">
        <v>474</v>
      </c>
      <c r="J11" s="3">
        <v>569</v>
      </c>
    </row>
    <row r="12" spans="1:10">
      <c r="A12" s="3" t="s">
        <v>62</v>
      </c>
      <c r="B12" s="3" t="s">
        <v>63</v>
      </c>
      <c r="C12" s="3" t="s">
        <v>31</v>
      </c>
      <c r="D12" s="3" t="s">
        <v>436</v>
      </c>
      <c r="E12" s="3">
        <v>28</v>
      </c>
      <c r="F12" s="3">
        <v>1.4</v>
      </c>
      <c r="G12" s="3">
        <v>5</v>
      </c>
      <c r="H12" s="3">
        <v>172.6</v>
      </c>
      <c r="I12" s="3" t="s">
        <v>474</v>
      </c>
      <c r="J12" s="3">
        <v>489</v>
      </c>
    </row>
    <row r="13" spans="1:10">
      <c r="A13" s="3" t="s">
        <v>65</v>
      </c>
      <c r="B13" s="3" t="s">
        <v>66</v>
      </c>
      <c r="C13" s="3" t="s">
        <v>31</v>
      </c>
      <c r="D13" s="3" t="s">
        <v>436</v>
      </c>
      <c r="E13" s="3">
        <v>58</v>
      </c>
      <c r="F13" s="3">
        <v>3.2</v>
      </c>
      <c r="G13" s="3">
        <v>14</v>
      </c>
      <c r="H13" s="3">
        <v>163.7</v>
      </c>
      <c r="I13" s="3" t="s">
        <v>474</v>
      </c>
      <c r="J13" s="3">
        <v>674</v>
      </c>
    </row>
    <row r="14" spans="1:10">
      <c r="A14" s="3" t="s">
        <v>71</v>
      </c>
      <c r="B14" s="3" t="s">
        <v>72</v>
      </c>
      <c r="C14" s="3" t="s">
        <v>31</v>
      </c>
      <c r="D14" s="3" t="s">
        <v>436</v>
      </c>
      <c r="E14" s="3">
        <v>42</v>
      </c>
      <c r="F14" s="3">
        <v>0.9</v>
      </c>
      <c r="G14" s="3">
        <v>7</v>
      </c>
      <c r="H14" s="3">
        <v>461.6</v>
      </c>
      <c r="I14" s="3" t="s">
        <v>474</v>
      </c>
      <c r="J14" s="3">
        <v>1480</v>
      </c>
    </row>
    <row r="15" spans="1:10">
      <c r="A15" s="3" t="s">
        <v>77</v>
      </c>
      <c r="B15" s="3" t="s">
        <v>78</v>
      </c>
      <c r="C15" s="3" t="s">
        <v>31</v>
      </c>
      <c r="D15" s="3" t="s">
        <v>436</v>
      </c>
      <c r="E15" s="3">
        <v>0</v>
      </c>
      <c r="F15" s="3">
        <v>0</v>
      </c>
      <c r="G15" s="3">
        <v>3</v>
      </c>
      <c r="H15" s="3">
        <v>342.4</v>
      </c>
      <c r="I15" s="3" t="s">
        <v>474</v>
      </c>
      <c r="J15" s="3">
        <v>906</v>
      </c>
    </row>
    <row r="16" spans="1:10">
      <c r="A16" s="3" t="s">
        <v>80</v>
      </c>
      <c r="B16" s="3" t="s">
        <v>81</v>
      </c>
      <c r="C16" s="3" t="s">
        <v>31</v>
      </c>
      <c r="D16" s="3" t="s">
        <v>436</v>
      </c>
      <c r="E16" s="3">
        <v>0</v>
      </c>
      <c r="F16" s="3">
        <v>0</v>
      </c>
      <c r="G16" s="3">
        <v>4</v>
      </c>
      <c r="H16" s="3">
        <v>318.5</v>
      </c>
      <c r="I16" s="3" t="s">
        <v>474</v>
      </c>
      <c r="J16" s="3">
        <v>892</v>
      </c>
    </row>
    <row r="17" spans="1:10">
      <c r="A17" s="3" t="s">
        <v>83</v>
      </c>
      <c r="B17" s="3" t="s">
        <v>84</v>
      </c>
      <c r="C17" s="3" t="s">
        <v>31</v>
      </c>
      <c r="D17" s="3" t="s">
        <v>436</v>
      </c>
      <c r="E17" s="3">
        <v>45</v>
      </c>
      <c r="F17" s="3">
        <v>3.4</v>
      </c>
      <c r="G17" s="3">
        <v>7</v>
      </c>
      <c r="H17" s="3">
        <v>100.9</v>
      </c>
      <c r="I17" s="3" t="s">
        <v>474</v>
      </c>
      <c r="J17" s="3">
        <v>300</v>
      </c>
    </row>
    <row r="18" spans="1:10">
      <c r="A18" s="3" t="s">
        <v>86</v>
      </c>
      <c r="B18" s="3" t="s">
        <v>87</v>
      </c>
      <c r="C18" s="3" t="s">
        <v>31</v>
      </c>
      <c r="D18" s="3" t="s">
        <v>436</v>
      </c>
      <c r="E18" s="3">
        <v>44</v>
      </c>
      <c r="F18" s="3">
        <v>0.9</v>
      </c>
      <c r="G18" s="3">
        <v>7</v>
      </c>
      <c r="H18" s="3">
        <v>454.9</v>
      </c>
      <c r="I18" s="3" t="s">
        <v>474</v>
      </c>
      <c r="J18" s="3">
        <v>1456</v>
      </c>
    </row>
    <row r="19" spans="1:10">
      <c r="A19" s="3" t="s">
        <v>101</v>
      </c>
      <c r="B19" s="3" t="s">
        <v>102</v>
      </c>
      <c r="C19" s="3" t="s">
        <v>90</v>
      </c>
      <c r="D19" s="3" t="s">
        <v>436</v>
      </c>
      <c r="E19" s="3">
        <v>19</v>
      </c>
      <c r="F19" s="3">
        <v>0.8</v>
      </c>
      <c r="G19" s="3">
        <v>14</v>
      </c>
      <c r="H19" s="3">
        <v>207.8</v>
      </c>
      <c r="I19" s="3" t="s">
        <v>474</v>
      </c>
      <c r="J19" s="3">
        <v>904</v>
      </c>
    </row>
    <row r="20" spans="1:10">
      <c r="A20" s="3" t="s">
        <v>113</v>
      </c>
      <c r="B20" s="3" t="s">
        <v>114</v>
      </c>
      <c r="C20" s="3" t="s">
        <v>90</v>
      </c>
      <c r="D20" s="3" t="s">
        <v>436</v>
      </c>
      <c r="E20" s="3">
        <v>0</v>
      </c>
      <c r="F20" s="3">
        <v>0</v>
      </c>
      <c r="G20" s="3">
        <v>10</v>
      </c>
      <c r="H20" s="3">
        <v>176.5</v>
      </c>
      <c r="I20" s="3" t="s">
        <v>474</v>
      </c>
      <c r="J20" s="3">
        <v>666</v>
      </c>
    </row>
    <row r="21" spans="1:10">
      <c r="A21" s="3" t="s">
        <v>116</v>
      </c>
      <c r="B21" s="3" t="s">
        <v>117</v>
      </c>
      <c r="C21" s="3" t="s">
        <v>90</v>
      </c>
      <c r="D21" s="3" t="s">
        <v>436</v>
      </c>
      <c r="E21" s="3">
        <v>0</v>
      </c>
      <c r="F21" s="3">
        <v>0</v>
      </c>
      <c r="G21" s="3">
        <v>4</v>
      </c>
      <c r="H21" s="3">
        <v>88.6</v>
      </c>
      <c r="I21" s="3" t="s">
        <v>474</v>
      </c>
      <c r="J21" s="3">
        <v>257</v>
      </c>
    </row>
    <row r="22" spans="1:10">
      <c r="A22" s="3" t="s">
        <v>119</v>
      </c>
      <c r="B22" s="3" t="s">
        <v>120</v>
      </c>
      <c r="C22" s="3" t="s">
        <v>90</v>
      </c>
      <c r="D22" s="3" t="s">
        <v>436</v>
      </c>
      <c r="E22" s="3">
        <v>0</v>
      </c>
      <c r="F22" s="3">
        <v>0</v>
      </c>
      <c r="G22" s="3">
        <v>10</v>
      </c>
      <c r="H22" s="3">
        <v>177.3</v>
      </c>
      <c r="I22" s="3" t="s">
        <v>474</v>
      </c>
      <c r="J22" s="3">
        <v>679</v>
      </c>
    </row>
    <row r="23" spans="1:10">
      <c r="A23" s="3" t="s">
        <v>122</v>
      </c>
      <c r="B23" s="3" t="s">
        <v>123</v>
      </c>
      <c r="C23" s="3" t="s">
        <v>90</v>
      </c>
      <c r="D23" s="3" t="s">
        <v>436</v>
      </c>
      <c r="E23" s="3">
        <v>9</v>
      </c>
      <c r="F23" s="3">
        <v>1.5</v>
      </c>
      <c r="G23" s="3">
        <v>5</v>
      </c>
      <c r="H23" s="3">
        <v>51.9</v>
      </c>
      <c r="I23" s="3" t="s">
        <v>474</v>
      </c>
      <c r="J23" s="3">
        <v>150</v>
      </c>
    </row>
    <row r="24" spans="1:10">
      <c r="A24" s="3" t="s">
        <v>134</v>
      </c>
      <c r="B24" s="3" t="s">
        <v>135</v>
      </c>
      <c r="C24" s="3" t="s">
        <v>90</v>
      </c>
      <c r="D24" s="3" t="s">
        <v>436</v>
      </c>
      <c r="E24" s="3">
        <v>0</v>
      </c>
      <c r="F24" s="3">
        <v>0</v>
      </c>
      <c r="G24" s="3">
        <v>4</v>
      </c>
      <c r="H24" s="3">
        <v>133.2</v>
      </c>
      <c r="I24" s="3" t="s">
        <v>474</v>
      </c>
      <c r="J24" s="3">
        <v>375</v>
      </c>
    </row>
    <row r="25" spans="1:10">
      <c r="A25" s="3" t="s">
        <v>136</v>
      </c>
      <c r="B25" s="3" t="s">
        <v>137</v>
      </c>
      <c r="C25" s="3" t="s">
        <v>90</v>
      </c>
      <c r="D25" s="3" t="s">
        <v>436</v>
      </c>
      <c r="E25" s="3">
        <v>0</v>
      </c>
      <c r="F25" s="3">
        <v>0</v>
      </c>
      <c r="G25" s="3">
        <v>10</v>
      </c>
      <c r="H25" s="3">
        <v>215</v>
      </c>
      <c r="I25" s="3" t="s">
        <v>474</v>
      </c>
      <c r="J25" s="3">
        <v>820</v>
      </c>
    </row>
    <row r="26" spans="1:10">
      <c r="A26" s="3" t="s">
        <v>139</v>
      </c>
      <c r="B26" s="3" t="s">
        <v>140</v>
      </c>
      <c r="C26" s="3" t="s">
        <v>90</v>
      </c>
      <c r="D26" s="3" t="s">
        <v>436</v>
      </c>
      <c r="E26" s="3">
        <v>0</v>
      </c>
      <c r="F26" s="3">
        <v>0</v>
      </c>
      <c r="G26" s="3">
        <v>10</v>
      </c>
      <c r="H26" s="3">
        <v>150.3</v>
      </c>
      <c r="I26" s="3" t="s">
        <v>474</v>
      </c>
      <c r="J26" s="3">
        <v>580</v>
      </c>
    </row>
    <row r="27" spans="1:10">
      <c r="A27" s="3" t="s">
        <v>144</v>
      </c>
      <c r="B27" s="3" t="s">
        <v>145</v>
      </c>
      <c r="C27" s="3" t="s">
        <v>90</v>
      </c>
      <c r="D27" s="3" t="s">
        <v>436</v>
      </c>
      <c r="E27" s="3">
        <v>9</v>
      </c>
      <c r="F27" s="3">
        <v>0.3</v>
      </c>
      <c r="G27" s="3">
        <v>10</v>
      </c>
      <c r="H27" s="3">
        <v>246.8</v>
      </c>
      <c r="I27" s="3" t="s">
        <v>474</v>
      </c>
      <c r="J27" s="3">
        <v>930</v>
      </c>
    </row>
    <row r="28" spans="1:10">
      <c r="A28" s="3" t="s">
        <v>147</v>
      </c>
      <c r="B28" s="3" t="s">
        <v>148</v>
      </c>
      <c r="C28" s="3" t="s">
        <v>149</v>
      </c>
      <c r="D28" s="3" t="s">
        <v>436</v>
      </c>
      <c r="E28" s="3">
        <v>0</v>
      </c>
      <c r="F28" s="3">
        <v>0</v>
      </c>
      <c r="G28" s="3">
        <v>5</v>
      </c>
      <c r="H28" s="3">
        <v>498.4</v>
      </c>
      <c r="I28" s="3" t="s">
        <v>474</v>
      </c>
      <c r="J28" s="3">
        <v>1488</v>
      </c>
    </row>
    <row r="29" spans="1:10">
      <c r="A29" s="3" t="s">
        <v>154</v>
      </c>
      <c r="B29" s="3" t="s">
        <v>155</v>
      </c>
      <c r="C29" s="3" t="s">
        <v>149</v>
      </c>
      <c r="D29" s="3" t="s">
        <v>436</v>
      </c>
      <c r="E29" s="3">
        <v>57</v>
      </c>
      <c r="F29" s="3">
        <v>0.6</v>
      </c>
      <c r="G29" s="3">
        <v>7</v>
      </c>
      <c r="H29" s="3">
        <v>605.1</v>
      </c>
      <c r="I29" s="3" t="s">
        <v>474</v>
      </c>
      <c r="J29" s="3">
        <v>1980</v>
      </c>
    </row>
    <row r="30" spans="1:10">
      <c r="A30" s="3" t="s">
        <v>160</v>
      </c>
      <c r="B30" s="3" t="s">
        <v>161</v>
      </c>
      <c r="C30" s="3" t="s">
        <v>149</v>
      </c>
      <c r="D30" s="3" t="s">
        <v>436</v>
      </c>
      <c r="E30" s="3">
        <v>31</v>
      </c>
      <c r="F30" s="3">
        <v>0.4</v>
      </c>
      <c r="G30" s="3">
        <v>7</v>
      </c>
      <c r="H30" s="3">
        <v>603.7</v>
      </c>
      <c r="I30" s="3" t="s">
        <v>474</v>
      </c>
      <c r="J30" s="3">
        <v>1969</v>
      </c>
    </row>
    <row r="31" spans="1:10">
      <c r="A31" s="3" t="s">
        <v>171</v>
      </c>
      <c r="B31" s="3" t="s">
        <v>172</v>
      </c>
      <c r="C31" s="3" t="s">
        <v>149</v>
      </c>
      <c r="D31" s="3" t="s">
        <v>436</v>
      </c>
      <c r="E31" s="3">
        <v>0</v>
      </c>
      <c r="F31" s="3">
        <v>0</v>
      </c>
      <c r="G31" s="3">
        <v>5</v>
      </c>
      <c r="H31" s="3">
        <v>603.1</v>
      </c>
      <c r="I31" s="3" t="s">
        <v>474</v>
      </c>
      <c r="J31" s="3">
        <v>1817</v>
      </c>
    </row>
    <row r="32" spans="1:10">
      <c r="A32" s="3" t="s">
        <v>176</v>
      </c>
      <c r="B32" s="3" t="s">
        <v>177</v>
      </c>
      <c r="C32" s="3" t="s">
        <v>149</v>
      </c>
      <c r="D32" s="3" t="s">
        <v>436</v>
      </c>
      <c r="E32" s="3">
        <v>0</v>
      </c>
      <c r="F32" s="3">
        <v>0</v>
      </c>
      <c r="G32" s="3">
        <v>10</v>
      </c>
      <c r="H32" s="3">
        <v>610.1</v>
      </c>
      <c r="I32" s="3" t="s">
        <v>474</v>
      </c>
      <c r="J32" s="3">
        <v>2373</v>
      </c>
    </row>
    <row r="33" spans="1:10">
      <c r="A33" s="3" t="s">
        <v>199</v>
      </c>
      <c r="B33" s="3" t="s">
        <v>200</v>
      </c>
      <c r="C33" s="3" t="s">
        <v>149</v>
      </c>
      <c r="D33" s="3" t="s">
        <v>436</v>
      </c>
      <c r="E33" s="3">
        <v>0</v>
      </c>
      <c r="F33" s="3">
        <v>0</v>
      </c>
      <c r="G33" s="3">
        <v>4</v>
      </c>
      <c r="H33" s="3">
        <v>496.1</v>
      </c>
      <c r="I33" s="3" t="s">
        <v>474</v>
      </c>
      <c r="J33" s="3">
        <v>1384</v>
      </c>
    </row>
    <row r="34" spans="1:10">
      <c r="A34" s="3" t="s">
        <v>206</v>
      </c>
      <c r="B34" s="3" t="s">
        <v>207</v>
      </c>
      <c r="C34" s="3" t="s">
        <v>149</v>
      </c>
      <c r="D34" s="3" t="s">
        <v>436</v>
      </c>
      <c r="E34" s="3">
        <v>0</v>
      </c>
      <c r="F34" s="3">
        <v>0</v>
      </c>
      <c r="G34" s="3">
        <v>3</v>
      </c>
      <c r="H34" s="3">
        <v>597.7</v>
      </c>
      <c r="I34" s="3" t="s">
        <v>474</v>
      </c>
      <c r="J34" s="3">
        <v>1562</v>
      </c>
    </row>
    <row r="35" spans="1:10">
      <c r="A35" s="3" t="s">
        <v>208</v>
      </c>
      <c r="B35" s="3" t="s">
        <v>209</v>
      </c>
      <c r="C35" s="3" t="s">
        <v>149</v>
      </c>
      <c r="D35" s="3" t="s">
        <v>436</v>
      </c>
      <c r="E35" s="3">
        <v>0</v>
      </c>
      <c r="F35" s="3">
        <v>0</v>
      </c>
      <c r="G35" s="3">
        <v>10</v>
      </c>
      <c r="H35" s="3">
        <v>604.1</v>
      </c>
      <c r="I35" s="3" t="s">
        <v>474</v>
      </c>
      <c r="J35" s="3">
        <v>2330</v>
      </c>
    </row>
    <row r="36" spans="1:10">
      <c r="A36" s="3" t="s">
        <v>216</v>
      </c>
      <c r="B36" s="3" t="s">
        <v>217</v>
      </c>
      <c r="C36" s="3" t="s">
        <v>149</v>
      </c>
      <c r="D36" s="3" t="s">
        <v>436</v>
      </c>
      <c r="E36" s="3">
        <v>73</v>
      </c>
      <c r="F36" s="3">
        <v>0.8</v>
      </c>
      <c r="G36" s="3">
        <v>7</v>
      </c>
      <c r="H36" s="3">
        <v>607.3</v>
      </c>
      <c r="I36" s="3" t="s">
        <v>474</v>
      </c>
      <c r="J36" s="3">
        <v>1987</v>
      </c>
    </row>
    <row r="37" spans="1:10">
      <c r="A37" s="3" t="s">
        <v>222</v>
      </c>
      <c r="B37" s="3" t="s">
        <v>223</v>
      </c>
      <c r="C37" s="3" t="s">
        <v>149</v>
      </c>
      <c r="D37" s="3" t="s">
        <v>436</v>
      </c>
      <c r="E37" s="3">
        <v>29</v>
      </c>
      <c r="F37" s="3">
        <v>0.4</v>
      </c>
      <c r="G37" s="3">
        <v>14</v>
      </c>
      <c r="H37" s="3">
        <v>603.8</v>
      </c>
      <c r="I37" s="3" t="s">
        <v>474</v>
      </c>
      <c r="J37" s="3">
        <v>2696</v>
      </c>
    </row>
    <row r="38" spans="1:10">
      <c r="A38" s="3" t="s">
        <v>229</v>
      </c>
      <c r="B38" s="3" t="s">
        <v>230</v>
      </c>
      <c r="C38" s="3" t="s">
        <v>149</v>
      </c>
      <c r="D38" s="3" t="s">
        <v>436</v>
      </c>
      <c r="E38" s="3">
        <v>0</v>
      </c>
      <c r="F38" s="3">
        <v>0</v>
      </c>
      <c r="G38" s="3">
        <v>5</v>
      </c>
      <c r="H38" s="3">
        <v>507.3</v>
      </c>
      <c r="I38" s="3" t="s">
        <v>474</v>
      </c>
      <c r="J38" s="3">
        <v>1508</v>
      </c>
    </row>
    <row r="39" spans="1:10">
      <c r="A39" s="3" t="s">
        <v>231</v>
      </c>
      <c r="B39" s="3" t="s">
        <v>232</v>
      </c>
      <c r="C39" s="3" t="s">
        <v>149</v>
      </c>
      <c r="D39" s="3" t="s">
        <v>436</v>
      </c>
      <c r="E39" s="3">
        <v>0</v>
      </c>
      <c r="F39" s="3">
        <v>0</v>
      </c>
      <c r="G39" s="3">
        <v>10</v>
      </c>
      <c r="H39" s="3">
        <v>598.8</v>
      </c>
      <c r="I39" s="3" t="s">
        <v>474</v>
      </c>
      <c r="J39" s="3">
        <v>2281</v>
      </c>
    </row>
    <row r="40" spans="1:10">
      <c r="A40" s="3" t="s">
        <v>242</v>
      </c>
      <c r="B40" s="3" t="s">
        <v>243</v>
      </c>
      <c r="C40" s="3" t="s">
        <v>244</v>
      </c>
      <c r="D40" s="3" t="s">
        <v>436</v>
      </c>
      <c r="E40" s="3">
        <v>0</v>
      </c>
      <c r="F40" s="3">
        <v>0</v>
      </c>
      <c r="G40" s="3">
        <v>10</v>
      </c>
      <c r="H40" s="3">
        <v>414.6</v>
      </c>
      <c r="I40" s="3" t="s">
        <v>474</v>
      </c>
      <c r="J40" s="3">
        <v>1558</v>
      </c>
    </row>
    <row r="41" spans="1:10">
      <c r="A41" s="3" t="s">
        <v>245</v>
      </c>
      <c r="B41" s="3" t="s">
        <v>246</v>
      </c>
      <c r="C41" s="3" t="s">
        <v>244</v>
      </c>
      <c r="D41" s="3" t="s">
        <v>436</v>
      </c>
      <c r="E41" s="3">
        <v>42</v>
      </c>
      <c r="F41" s="3">
        <v>0.8</v>
      </c>
      <c r="G41" s="3">
        <v>14</v>
      </c>
      <c r="H41" s="3">
        <v>478.1</v>
      </c>
      <c r="I41" s="3" t="s">
        <v>474</v>
      </c>
      <c r="J41" s="3">
        <v>2083</v>
      </c>
    </row>
    <row r="42" spans="1:10">
      <c r="A42" s="3" t="s">
        <v>258</v>
      </c>
      <c r="B42" s="3" t="s">
        <v>259</v>
      </c>
      <c r="C42" s="3" t="s">
        <v>244</v>
      </c>
      <c r="D42" s="3" t="s">
        <v>436</v>
      </c>
      <c r="E42" s="3">
        <v>0</v>
      </c>
      <c r="F42" s="3">
        <v>0</v>
      </c>
      <c r="G42" s="3">
        <v>3</v>
      </c>
      <c r="H42" s="3">
        <v>365.2</v>
      </c>
      <c r="I42" s="3" t="s">
        <v>474</v>
      </c>
      <c r="J42" s="3">
        <v>977</v>
      </c>
    </row>
    <row r="43" spans="1:10">
      <c r="A43" s="3" t="s">
        <v>266</v>
      </c>
      <c r="B43" s="3" t="s">
        <v>267</v>
      </c>
      <c r="C43" s="3" t="s">
        <v>244</v>
      </c>
      <c r="D43" s="3" t="s">
        <v>436</v>
      </c>
      <c r="E43" s="3">
        <v>0</v>
      </c>
      <c r="F43" s="3">
        <v>0</v>
      </c>
      <c r="G43" s="3">
        <v>3</v>
      </c>
      <c r="H43" s="3">
        <v>457.2</v>
      </c>
      <c r="I43" s="3" t="s">
        <v>474</v>
      </c>
      <c r="J43" s="3">
        <v>1196</v>
      </c>
    </row>
    <row r="44" spans="1:10">
      <c r="A44" s="3" t="s">
        <v>272</v>
      </c>
      <c r="B44" s="3" t="s">
        <v>273</v>
      </c>
      <c r="C44" s="3" t="s">
        <v>244</v>
      </c>
      <c r="D44" s="3" t="s">
        <v>436</v>
      </c>
      <c r="E44" s="3">
        <v>50</v>
      </c>
      <c r="F44" s="3">
        <v>1.2</v>
      </c>
      <c r="G44" s="3">
        <v>4</v>
      </c>
      <c r="H44" s="3">
        <v>396.2</v>
      </c>
      <c r="I44" s="3" t="s">
        <v>474</v>
      </c>
      <c r="J44" s="3">
        <v>1047</v>
      </c>
    </row>
    <row r="45" spans="1:10">
      <c r="A45" s="3" t="s">
        <v>285</v>
      </c>
      <c r="B45" s="3" t="s">
        <v>286</v>
      </c>
      <c r="C45" s="3" t="s">
        <v>244</v>
      </c>
      <c r="D45" s="3" t="s">
        <v>436</v>
      </c>
      <c r="E45" s="3">
        <v>60</v>
      </c>
      <c r="F45" s="3">
        <v>1.9</v>
      </c>
      <c r="G45" s="3">
        <v>4</v>
      </c>
      <c r="H45" s="3">
        <v>266.5</v>
      </c>
      <c r="I45" s="3" t="s">
        <v>474</v>
      </c>
      <c r="J45" s="3">
        <v>690</v>
      </c>
    </row>
    <row r="46" spans="1:10">
      <c r="A46" s="3" t="s">
        <v>294</v>
      </c>
      <c r="B46" s="3" t="s">
        <v>295</v>
      </c>
      <c r="C46" s="3" t="s">
        <v>244</v>
      </c>
      <c r="D46" s="3" t="s">
        <v>436</v>
      </c>
      <c r="E46" s="3">
        <v>0</v>
      </c>
      <c r="F46" s="3">
        <v>0</v>
      </c>
      <c r="G46" s="3">
        <v>5</v>
      </c>
      <c r="H46" s="3">
        <v>453</v>
      </c>
      <c r="I46" s="3" t="s">
        <v>474</v>
      </c>
      <c r="J46" s="3">
        <v>1338</v>
      </c>
    </row>
    <row r="47" spans="1:10">
      <c r="A47" s="3" t="s">
        <v>309</v>
      </c>
      <c r="B47" s="3" t="s">
        <v>310</v>
      </c>
      <c r="C47" s="3" t="s">
        <v>244</v>
      </c>
      <c r="D47" s="3" t="s">
        <v>436</v>
      </c>
      <c r="E47" s="3">
        <v>27</v>
      </c>
      <c r="F47" s="3">
        <v>0.7</v>
      </c>
      <c r="G47" s="3">
        <v>7</v>
      </c>
      <c r="H47" s="3">
        <v>391.7</v>
      </c>
      <c r="I47" s="3" t="s">
        <v>474</v>
      </c>
      <c r="J47" s="3">
        <v>1252</v>
      </c>
    </row>
    <row r="48" spans="1:10">
      <c r="A48" s="3" t="s">
        <v>311</v>
      </c>
      <c r="B48" s="3" t="s">
        <v>312</v>
      </c>
      <c r="C48" s="3" t="s">
        <v>244</v>
      </c>
      <c r="D48" s="3" t="s">
        <v>436</v>
      </c>
      <c r="E48" s="3">
        <v>0</v>
      </c>
      <c r="F48" s="3">
        <v>0</v>
      </c>
      <c r="G48" s="3">
        <v>5</v>
      </c>
      <c r="H48" s="3">
        <v>287.6</v>
      </c>
      <c r="I48" s="3" t="s">
        <v>474</v>
      </c>
      <c r="J48" s="3">
        <v>862</v>
      </c>
    </row>
    <row r="49" spans="1:10">
      <c r="A49" s="3" t="s">
        <v>369</v>
      </c>
      <c r="B49" s="3" t="s">
        <v>370</v>
      </c>
      <c r="C49" s="3" t="s">
        <v>316</v>
      </c>
      <c r="D49" s="3" t="s">
        <v>436</v>
      </c>
      <c r="E49" s="3">
        <v>0</v>
      </c>
      <c r="F49" s="3">
        <v>0</v>
      </c>
      <c r="G49" s="3">
        <v>3</v>
      </c>
      <c r="H49" s="3">
        <v>600.1</v>
      </c>
      <c r="I49" s="3" t="s">
        <v>474</v>
      </c>
      <c r="J49" s="3">
        <v>1586</v>
      </c>
    </row>
    <row r="50" spans="1:10">
      <c r="A50" s="3" t="s">
        <v>39</v>
      </c>
      <c r="B50" s="3" t="s">
        <v>40</v>
      </c>
      <c r="C50" s="3" t="s">
        <v>31</v>
      </c>
      <c r="D50" s="3" t="s">
        <v>437</v>
      </c>
      <c r="E50" s="3">
        <v>0</v>
      </c>
      <c r="F50" s="3">
        <v>0</v>
      </c>
      <c r="G50" s="3">
        <v>3</v>
      </c>
      <c r="H50" s="3">
        <v>113.4</v>
      </c>
      <c r="I50" s="3" t="s">
        <v>474</v>
      </c>
      <c r="J50" s="3">
        <v>298</v>
      </c>
    </row>
    <row r="51" spans="1:10">
      <c r="A51" s="3" t="s">
        <v>125</v>
      </c>
      <c r="B51" s="3" t="s">
        <v>126</v>
      </c>
      <c r="C51" s="3" t="s">
        <v>90</v>
      </c>
      <c r="D51" s="3" t="s">
        <v>437</v>
      </c>
      <c r="E51" s="3">
        <v>0</v>
      </c>
      <c r="F51" s="3">
        <v>0</v>
      </c>
      <c r="G51" s="3">
        <v>3</v>
      </c>
      <c r="H51" s="3">
        <v>75.6</v>
      </c>
      <c r="I51" s="3" t="s">
        <v>474</v>
      </c>
      <c r="J51" s="3">
        <v>199</v>
      </c>
    </row>
    <row r="52" spans="1:10">
      <c r="A52" s="3" t="s">
        <v>141</v>
      </c>
      <c r="B52" s="3" t="s">
        <v>142</v>
      </c>
      <c r="C52" s="3" t="s">
        <v>90</v>
      </c>
      <c r="D52" s="3" t="s">
        <v>437</v>
      </c>
      <c r="E52" s="3">
        <v>0</v>
      </c>
      <c r="F52" s="3">
        <v>0</v>
      </c>
      <c r="G52" s="3">
        <v>3</v>
      </c>
      <c r="H52" s="3">
        <v>117.1</v>
      </c>
      <c r="I52" s="3" t="s">
        <v>474</v>
      </c>
      <c r="J52" s="3">
        <v>310</v>
      </c>
    </row>
    <row r="53" spans="1:10">
      <c r="A53" s="3" t="s">
        <v>151</v>
      </c>
      <c r="B53" s="3" t="s">
        <v>152</v>
      </c>
      <c r="C53" s="3" t="s">
        <v>149</v>
      </c>
      <c r="D53" s="3" t="s">
        <v>437</v>
      </c>
      <c r="E53" s="3">
        <v>0</v>
      </c>
      <c r="F53" s="3">
        <v>0</v>
      </c>
      <c r="G53" s="3">
        <v>5</v>
      </c>
      <c r="H53" s="3">
        <v>196.7</v>
      </c>
      <c r="I53" s="3" t="s">
        <v>474</v>
      </c>
      <c r="J53" s="3">
        <v>584</v>
      </c>
    </row>
    <row r="54" spans="1:10">
      <c r="A54" s="3" t="s">
        <v>165</v>
      </c>
      <c r="B54" s="3" t="s">
        <v>166</v>
      </c>
      <c r="C54" s="3" t="s">
        <v>149</v>
      </c>
      <c r="D54" s="3" t="s">
        <v>437</v>
      </c>
      <c r="E54" s="3">
        <v>0</v>
      </c>
      <c r="F54" s="3">
        <v>0</v>
      </c>
      <c r="G54" s="3">
        <v>3</v>
      </c>
      <c r="H54" s="3">
        <v>335.1</v>
      </c>
      <c r="I54" s="3" t="s">
        <v>474</v>
      </c>
      <c r="J54" s="3">
        <v>868</v>
      </c>
    </row>
    <row r="55" spans="1:10">
      <c r="A55" s="3" t="s">
        <v>168</v>
      </c>
      <c r="B55" s="3" t="s">
        <v>169</v>
      </c>
      <c r="C55" s="3" t="s">
        <v>149</v>
      </c>
      <c r="D55" s="3" t="s">
        <v>437</v>
      </c>
      <c r="E55" s="3">
        <v>0</v>
      </c>
      <c r="F55" s="3">
        <v>0</v>
      </c>
      <c r="G55" s="3">
        <v>10</v>
      </c>
      <c r="H55" s="3">
        <v>499.4</v>
      </c>
      <c r="I55" s="3" t="s">
        <v>474</v>
      </c>
      <c r="J55" s="3">
        <v>1863</v>
      </c>
    </row>
    <row r="56" spans="1:10">
      <c r="A56" s="3" t="s">
        <v>190</v>
      </c>
      <c r="B56" s="3" t="s">
        <v>191</v>
      </c>
      <c r="C56" s="3" t="s">
        <v>149</v>
      </c>
      <c r="D56" s="3" t="s">
        <v>437</v>
      </c>
      <c r="E56" s="3">
        <v>30</v>
      </c>
      <c r="F56" s="3">
        <v>0.9</v>
      </c>
      <c r="G56" s="3">
        <v>7</v>
      </c>
      <c r="H56" s="3">
        <v>315.1</v>
      </c>
      <c r="I56" s="3" t="s">
        <v>474</v>
      </c>
      <c r="J56" s="3">
        <v>995</v>
      </c>
    </row>
    <row r="57" spans="1:10">
      <c r="A57" s="3" t="s">
        <v>202</v>
      </c>
      <c r="B57" s="3" t="s">
        <v>203</v>
      </c>
      <c r="C57" s="3" t="s">
        <v>149</v>
      </c>
      <c r="D57" s="3" t="s">
        <v>437</v>
      </c>
      <c r="E57" s="3">
        <v>0</v>
      </c>
      <c r="F57" s="3">
        <v>0</v>
      </c>
      <c r="G57" s="3">
        <v>5</v>
      </c>
      <c r="H57" s="3">
        <v>596.7</v>
      </c>
      <c r="I57" s="3" t="s">
        <v>474</v>
      </c>
      <c r="J57" s="3">
        <v>1729</v>
      </c>
    </row>
    <row r="58" spans="1:10">
      <c r="A58" s="3" t="s">
        <v>204</v>
      </c>
      <c r="B58" s="3" t="s">
        <v>205</v>
      </c>
      <c r="C58" s="3" t="s">
        <v>149</v>
      </c>
      <c r="D58" s="3" t="s">
        <v>437</v>
      </c>
      <c r="E58" s="3">
        <v>0</v>
      </c>
      <c r="F58" s="3">
        <v>0</v>
      </c>
      <c r="G58" s="3">
        <v>4</v>
      </c>
      <c r="H58" s="3">
        <v>455.1</v>
      </c>
      <c r="I58" s="3" t="s">
        <v>474</v>
      </c>
      <c r="J58" s="3">
        <v>1245</v>
      </c>
    </row>
    <row r="59" spans="1:10">
      <c r="A59" s="3" t="s">
        <v>219</v>
      </c>
      <c r="B59" s="3" t="s">
        <v>220</v>
      </c>
      <c r="C59" s="3" t="s">
        <v>149</v>
      </c>
      <c r="D59" s="3" t="s">
        <v>437</v>
      </c>
      <c r="E59" s="3">
        <v>0</v>
      </c>
      <c r="F59" s="3">
        <v>0</v>
      </c>
      <c r="G59" s="3">
        <v>4</v>
      </c>
      <c r="H59" s="3">
        <v>254.6</v>
      </c>
      <c r="I59" s="3" t="s">
        <v>474</v>
      </c>
      <c r="J59" s="3">
        <v>705</v>
      </c>
    </row>
    <row r="60" spans="1:10">
      <c r="A60" s="3" t="s">
        <v>239</v>
      </c>
      <c r="B60" s="3" t="s">
        <v>240</v>
      </c>
      <c r="C60" s="3" t="s">
        <v>149</v>
      </c>
      <c r="D60" s="3" t="s">
        <v>437</v>
      </c>
      <c r="E60" s="3">
        <v>54</v>
      </c>
      <c r="F60" s="3">
        <v>0.9</v>
      </c>
      <c r="G60" s="3">
        <v>14</v>
      </c>
      <c r="H60" s="3">
        <v>591.4</v>
      </c>
      <c r="I60" s="3" t="s">
        <v>474</v>
      </c>
      <c r="J60" s="3">
        <v>2516</v>
      </c>
    </row>
    <row r="61" spans="1:10">
      <c r="A61" s="3" t="s">
        <v>256</v>
      </c>
      <c r="B61" s="3" t="s">
        <v>257</v>
      </c>
      <c r="C61" s="3" t="s">
        <v>244</v>
      </c>
      <c r="D61" s="3" t="s">
        <v>437</v>
      </c>
      <c r="E61" s="3">
        <v>0</v>
      </c>
      <c r="F61" s="3">
        <v>0</v>
      </c>
      <c r="G61" s="3">
        <v>10</v>
      </c>
      <c r="H61" s="3">
        <v>168.1</v>
      </c>
      <c r="I61" s="3" t="s">
        <v>474</v>
      </c>
      <c r="J61" s="3">
        <v>621</v>
      </c>
    </row>
    <row r="62" spans="1:10">
      <c r="A62" s="3" t="s">
        <v>262</v>
      </c>
      <c r="B62" s="3" t="s">
        <v>263</v>
      </c>
      <c r="C62" s="3" t="s">
        <v>244</v>
      </c>
      <c r="D62" s="3" t="s">
        <v>437</v>
      </c>
      <c r="E62" s="3">
        <v>0</v>
      </c>
      <c r="F62" s="3">
        <v>0</v>
      </c>
      <c r="G62" s="3">
        <v>10</v>
      </c>
      <c r="H62" s="3">
        <v>204</v>
      </c>
      <c r="I62" s="3" t="s">
        <v>474</v>
      </c>
      <c r="J62" s="3">
        <v>773</v>
      </c>
    </row>
    <row r="63" spans="1:10">
      <c r="A63" s="3" t="s">
        <v>269</v>
      </c>
      <c r="B63" s="3" t="s">
        <v>270</v>
      </c>
      <c r="C63" s="3" t="s">
        <v>244</v>
      </c>
      <c r="D63" s="3" t="s">
        <v>437</v>
      </c>
      <c r="E63" s="3">
        <v>0</v>
      </c>
      <c r="F63" s="3">
        <v>0</v>
      </c>
      <c r="G63" s="3">
        <v>3</v>
      </c>
      <c r="H63" s="3">
        <v>174.7</v>
      </c>
      <c r="I63" s="3" t="s">
        <v>474</v>
      </c>
      <c r="J63" s="3">
        <v>451</v>
      </c>
    </row>
    <row r="64" spans="1:10">
      <c r="A64" s="3" t="s">
        <v>298</v>
      </c>
      <c r="B64" s="3" t="s">
        <v>299</v>
      </c>
      <c r="C64" s="3" t="s">
        <v>244</v>
      </c>
      <c r="D64" s="3" t="s">
        <v>437</v>
      </c>
      <c r="E64" s="3">
        <v>0</v>
      </c>
      <c r="F64" s="3">
        <v>0</v>
      </c>
      <c r="G64" s="3">
        <v>3</v>
      </c>
      <c r="H64" s="3">
        <v>225.1</v>
      </c>
      <c r="I64" s="3" t="s">
        <v>474</v>
      </c>
      <c r="J64" s="3">
        <v>585</v>
      </c>
    </row>
    <row r="65" spans="1:10">
      <c r="A65" s="3" t="s">
        <v>306</v>
      </c>
      <c r="B65" s="3" t="s">
        <v>307</v>
      </c>
      <c r="C65" s="3" t="s">
        <v>244</v>
      </c>
      <c r="D65" s="3" t="s">
        <v>437</v>
      </c>
      <c r="E65" s="3">
        <v>0</v>
      </c>
      <c r="F65" s="3">
        <v>0</v>
      </c>
      <c r="G65" s="3">
        <v>10</v>
      </c>
      <c r="H65" s="3">
        <v>100.9</v>
      </c>
      <c r="I65" s="3" t="s">
        <v>474</v>
      </c>
      <c r="J65" s="3">
        <v>380</v>
      </c>
    </row>
    <row r="66" spans="1:10">
      <c r="A66" s="3" t="s">
        <v>314</v>
      </c>
      <c r="B66" s="3" t="s">
        <v>315</v>
      </c>
      <c r="C66" s="3" t="s">
        <v>316</v>
      </c>
      <c r="D66" s="3" t="s">
        <v>437</v>
      </c>
      <c r="E66" s="3">
        <v>0</v>
      </c>
      <c r="F66" s="3">
        <v>0</v>
      </c>
      <c r="G66" s="3">
        <v>4</v>
      </c>
      <c r="H66" s="3">
        <v>337.2</v>
      </c>
      <c r="I66" s="3" t="s">
        <v>474</v>
      </c>
      <c r="J66" s="3">
        <v>933</v>
      </c>
    </row>
    <row r="67" spans="1:10">
      <c r="A67" s="3" t="s">
        <v>317</v>
      </c>
      <c r="B67" s="3" t="s">
        <v>318</v>
      </c>
      <c r="C67" s="3" t="s">
        <v>316</v>
      </c>
      <c r="D67" s="3" t="s">
        <v>437</v>
      </c>
      <c r="E67" s="3">
        <v>0</v>
      </c>
      <c r="F67" s="3">
        <v>0</v>
      </c>
      <c r="G67" s="3">
        <v>4</v>
      </c>
      <c r="H67" s="3">
        <v>601.7</v>
      </c>
      <c r="I67" s="3" t="s">
        <v>474</v>
      </c>
      <c r="J67" s="3">
        <v>1660</v>
      </c>
    </row>
    <row r="68" spans="1:10">
      <c r="A68" s="3" t="s">
        <v>322</v>
      </c>
      <c r="B68" s="3" t="s">
        <v>323</v>
      </c>
      <c r="C68" s="3" t="s">
        <v>316</v>
      </c>
      <c r="D68" s="3" t="s">
        <v>437</v>
      </c>
      <c r="E68" s="3">
        <v>58</v>
      </c>
      <c r="F68" s="3">
        <v>1</v>
      </c>
      <c r="G68" s="3">
        <v>7</v>
      </c>
      <c r="H68" s="3">
        <v>506.7</v>
      </c>
      <c r="I68" s="3" t="s">
        <v>474</v>
      </c>
      <c r="J68" s="3">
        <v>1594</v>
      </c>
    </row>
    <row r="69" spans="1:10">
      <c r="A69" s="3" t="s">
        <v>324</v>
      </c>
      <c r="B69" s="3" t="s">
        <v>325</v>
      </c>
      <c r="C69" s="3" t="s">
        <v>316</v>
      </c>
      <c r="D69" s="3" t="s">
        <v>437</v>
      </c>
      <c r="E69" s="3">
        <v>18</v>
      </c>
      <c r="F69" s="3">
        <v>0.7</v>
      </c>
      <c r="G69" s="3">
        <v>7</v>
      </c>
      <c r="H69" s="3">
        <v>225.8</v>
      </c>
      <c r="I69" s="3" t="s">
        <v>474</v>
      </c>
      <c r="J69" s="3">
        <v>720</v>
      </c>
    </row>
    <row r="70" spans="1:10">
      <c r="A70" s="3" t="s">
        <v>326</v>
      </c>
      <c r="B70" s="3" t="s">
        <v>327</v>
      </c>
      <c r="C70" s="3" t="s">
        <v>316</v>
      </c>
      <c r="D70" s="3" t="s">
        <v>437</v>
      </c>
      <c r="E70" s="3">
        <v>0</v>
      </c>
      <c r="F70" s="3">
        <v>0</v>
      </c>
      <c r="G70" s="3">
        <v>3</v>
      </c>
      <c r="H70" s="3">
        <v>340.7</v>
      </c>
      <c r="I70" s="3" t="s">
        <v>474</v>
      </c>
      <c r="J70" s="3">
        <v>879</v>
      </c>
    </row>
    <row r="71" spans="1:10">
      <c r="A71" s="3" t="s">
        <v>328</v>
      </c>
      <c r="B71" s="3" t="s">
        <v>329</v>
      </c>
      <c r="C71" s="3" t="s">
        <v>316</v>
      </c>
      <c r="D71" s="3" t="s">
        <v>437</v>
      </c>
      <c r="E71" s="3">
        <v>0</v>
      </c>
      <c r="F71" s="3">
        <v>0</v>
      </c>
      <c r="G71" s="3">
        <v>4</v>
      </c>
      <c r="H71" s="3">
        <v>231.7</v>
      </c>
      <c r="I71" s="3" t="s">
        <v>474</v>
      </c>
      <c r="J71" s="3">
        <v>642</v>
      </c>
    </row>
    <row r="72" spans="1:10">
      <c r="A72" s="3" t="s">
        <v>344</v>
      </c>
      <c r="B72" s="3" t="s">
        <v>345</v>
      </c>
      <c r="C72" s="3" t="s">
        <v>316</v>
      </c>
      <c r="D72" s="3" t="s">
        <v>437</v>
      </c>
      <c r="E72" s="3">
        <v>0</v>
      </c>
      <c r="F72" s="3">
        <v>0</v>
      </c>
      <c r="G72" s="3">
        <v>3</v>
      </c>
      <c r="H72" s="3">
        <v>504.3</v>
      </c>
      <c r="I72" s="3" t="s">
        <v>474</v>
      </c>
      <c r="J72" s="3">
        <v>1310</v>
      </c>
    </row>
    <row r="73" spans="1:10">
      <c r="A73" s="3" t="s">
        <v>347</v>
      </c>
      <c r="B73" s="3" t="s">
        <v>348</v>
      </c>
      <c r="C73" s="3" t="s">
        <v>316</v>
      </c>
      <c r="D73" s="3" t="s">
        <v>437</v>
      </c>
      <c r="E73" s="3">
        <v>0</v>
      </c>
      <c r="F73" s="3">
        <v>0</v>
      </c>
      <c r="G73" s="3">
        <v>4</v>
      </c>
      <c r="H73" s="3">
        <v>395.1</v>
      </c>
      <c r="I73" s="3" t="s">
        <v>474</v>
      </c>
      <c r="J73" s="3">
        <v>1083</v>
      </c>
    </row>
    <row r="74" spans="1:10">
      <c r="A74" s="3" t="s">
        <v>349</v>
      </c>
      <c r="B74" s="3" t="s">
        <v>350</v>
      </c>
      <c r="C74" s="3" t="s">
        <v>316</v>
      </c>
      <c r="D74" s="3" t="s">
        <v>437</v>
      </c>
      <c r="E74" s="3">
        <v>0</v>
      </c>
      <c r="F74" s="3">
        <v>0</v>
      </c>
      <c r="G74" s="3">
        <v>3</v>
      </c>
      <c r="H74" s="3">
        <v>453.7</v>
      </c>
      <c r="I74" s="3" t="s">
        <v>474</v>
      </c>
      <c r="J74" s="3">
        <v>1168</v>
      </c>
    </row>
    <row r="75" spans="1:10">
      <c r="A75" s="3" t="s">
        <v>351</v>
      </c>
      <c r="B75" s="3" t="s">
        <v>352</v>
      </c>
      <c r="C75" s="3" t="s">
        <v>316</v>
      </c>
      <c r="D75" s="3" t="s">
        <v>437</v>
      </c>
      <c r="E75" s="3">
        <v>0</v>
      </c>
      <c r="F75" s="3">
        <v>0</v>
      </c>
      <c r="G75" s="3">
        <v>4</v>
      </c>
      <c r="H75" s="3">
        <v>456</v>
      </c>
      <c r="I75" s="3" t="s">
        <v>474</v>
      </c>
      <c r="J75" s="3">
        <v>1249</v>
      </c>
    </row>
    <row r="76" spans="1:10">
      <c r="A76" s="3" t="s">
        <v>358</v>
      </c>
      <c r="B76" s="3" t="s">
        <v>359</v>
      </c>
      <c r="C76" s="3" t="s">
        <v>316</v>
      </c>
      <c r="D76" s="3" t="s">
        <v>437</v>
      </c>
      <c r="E76" s="3">
        <v>58</v>
      </c>
      <c r="F76" s="3">
        <v>0.8</v>
      </c>
      <c r="G76" s="3">
        <v>7</v>
      </c>
      <c r="H76" s="3">
        <v>603.8</v>
      </c>
      <c r="I76" s="3" t="s">
        <v>474</v>
      </c>
      <c r="J76" s="3">
        <v>1917</v>
      </c>
    </row>
    <row r="77" spans="1:10">
      <c r="A77" s="3" t="s">
        <v>385</v>
      </c>
      <c r="B77" s="3" t="s">
        <v>386</v>
      </c>
      <c r="C77" s="3" t="s">
        <v>379</v>
      </c>
      <c r="D77" s="3" t="s">
        <v>437</v>
      </c>
      <c r="E77" s="3">
        <v>97</v>
      </c>
      <c r="F77" s="3">
        <v>1.1</v>
      </c>
      <c r="G77" s="3">
        <v>7</v>
      </c>
      <c r="H77" s="3">
        <v>600.7</v>
      </c>
      <c r="I77" s="3" t="s">
        <v>474</v>
      </c>
      <c r="J77" s="3">
        <v>1886</v>
      </c>
    </row>
    <row r="78" spans="1:10">
      <c r="A78" s="3" t="s">
        <v>390</v>
      </c>
      <c r="B78" s="3" t="s">
        <v>391</v>
      </c>
      <c r="C78" s="3" t="s">
        <v>379</v>
      </c>
      <c r="D78" s="3" t="s">
        <v>437</v>
      </c>
      <c r="E78" s="3">
        <v>0</v>
      </c>
      <c r="F78" s="3">
        <v>0</v>
      </c>
      <c r="G78" s="3">
        <v>4</v>
      </c>
      <c r="H78" s="3">
        <v>504.6</v>
      </c>
      <c r="I78" s="3" t="s">
        <v>474</v>
      </c>
      <c r="J78" s="3">
        <v>1408</v>
      </c>
    </row>
    <row r="79" spans="1:10">
      <c r="A79" s="3" t="s">
        <v>393</v>
      </c>
      <c r="B79" s="3" t="s">
        <v>394</v>
      </c>
      <c r="C79" s="3" t="s">
        <v>379</v>
      </c>
      <c r="D79" s="3" t="s">
        <v>437</v>
      </c>
      <c r="E79" s="3">
        <v>17</v>
      </c>
      <c r="F79" s="3">
        <v>0.1</v>
      </c>
      <c r="G79" s="3">
        <v>14</v>
      </c>
      <c r="H79" s="3">
        <v>903.1</v>
      </c>
      <c r="I79" s="3" t="s">
        <v>474</v>
      </c>
      <c r="J79" s="3">
        <v>3970</v>
      </c>
    </row>
    <row r="80" spans="1:10">
      <c r="A80" s="3" t="s">
        <v>401</v>
      </c>
      <c r="B80" s="3" t="s">
        <v>402</v>
      </c>
      <c r="C80" s="3" t="s">
        <v>379</v>
      </c>
      <c r="D80" s="3" t="s">
        <v>437</v>
      </c>
      <c r="E80" s="3">
        <v>140</v>
      </c>
      <c r="F80" s="3">
        <v>1.1</v>
      </c>
      <c r="G80" s="3">
        <v>14</v>
      </c>
      <c r="H80" s="3">
        <v>906.6</v>
      </c>
      <c r="I80" s="3" t="s">
        <v>474</v>
      </c>
      <c r="J80" s="3">
        <v>3868</v>
      </c>
    </row>
    <row r="81" spans="1:10">
      <c r="A81" s="3" t="s">
        <v>405</v>
      </c>
      <c r="B81" s="3" t="s">
        <v>406</v>
      </c>
      <c r="C81" s="3" t="s">
        <v>379</v>
      </c>
      <c r="D81" s="3" t="s">
        <v>437</v>
      </c>
      <c r="E81" s="3">
        <v>0</v>
      </c>
      <c r="F81" s="3">
        <v>0</v>
      </c>
      <c r="G81" s="3">
        <v>14</v>
      </c>
      <c r="H81" s="3">
        <v>908.1</v>
      </c>
      <c r="I81" s="3" t="s">
        <v>474</v>
      </c>
      <c r="J81" s="3">
        <v>4042</v>
      </c>
    </row>
    <row r="82" spans="1:10">
      <c r="A82" s="3" t="s">
        <v>409</v>
      </c>
      <c r="B82" s="3" t="s">
        <v>410</v>
      </c>
      <c r="C82" s="3" t="s">
        <v>379</v>
      </c>
      <c r="D82" s="3" t="s">
        <v>437</v>
      </c>
      <c r="E82" s="3">
        <v>104</v>
      </c>
      <c r="F82" s="3">
        <v>1.6</v>
      </c>
      <c r="G82" s="3">
        <v>7</v>
      </c>
      <c r="H82" s="3">
        <v>591.1</v>
      </c>
      <c r="I82" s="3" t="s">
        <v>474</v>
      </c>
      <c r="J82" s="3">
        <v>1801</v>
      </c>
    </row>
    <row r="83" spans="1:10">
      <c r="A83" s="3" t="s">
        <v>414</v>
      </c>
      <c r="B83" s="3" t="s">
        <v>415</v>
      </c>
      <c r="C83" s="3" t="s">
        <v>379</v>
      </c>
      <c r="D83" s="3" t="s">
        <v>437</v>
      </c>
      <c r="E83" s="3">
        <v>55</v>
      </c>
      <c r="F83" s="3">
        <v>0.5</v>
      </c>
      <c r="G83" s="3">
        <v>7</v>
      </c>
      <c r="H83" s="3">
        <v>607.6</v>
      </c>
      <c r="I83" s="3" t="s">
        <v>474</v>
      </c>
      <c r="J83" s="3">
        <v>1983</v>
      </c>
    </row>
    <row r="84" spans="1:10">
      <c r="A84" s="3" t="s">
        <v>74</v>
      </c>
      <c r="B84" s="3" t="s">
        <v>75</v>
      </c>
      <c r="C84" s="3" t="s">
        <v>31</v>
      </c>
      <c r="D84" s="3" t="s">
        <v>438</v>
      </c>
      <c r="E84" s="3">
        <v>0</v>
      </c>
      <c r="F84" s="3">
        <v>0</v>
      </c>
      <c r="G84" s="3">
        <v>4</v>
      </c>
      <c r="H84" s="3">
        <v>108.7</v>
      </c>
      <c r="I84" s="3" t="s">
        <v>474</v>
      </c>
      <c r="J84" s="3">
        <v>299</v>
      </c>
    </row>
    <row r="85" spans="1:10">
      <c r="A85" s="3" t="s">
        <v>128</v>
      </c>
      <c r="B85" s="3" t="s">
        <v>129</v>
      </c>
      <c r="C85" s="3" t="s">
        <v>90</v>
      </c>
      <c r="D85" s="3" t="s">
        <v>438</v>
      </c>
      <c r="E85" s="3">
        <v>8</v>
      </c>
      <c r="F85" s="3">
        <v>1.4</v>
      </c>
      <c r="G85" s="3">
        <v>5</v>
      </c>
      <c r="H85" s="3">
        <v>47.9</v>
      </c>
      <c r="I85" s="3" t="s">
        <v>474</v>
      </c>
      <c r="J85" s="3">
        <v>131</v>
      </c>
    </row>
    <row r="86" spans="1:10">
      <c r="A86" s="3" t="s">
        <v>157</v>
      </c>
      <c r="B86" s="3" t="s">
        <v>158</v>
      </c>
      <c r="C86" s="3" t="s">
        <v>149</v>
      </c>
      <c r="D86" s="3" t="s">
        <v>438</v>
      </c>
      <c r="E86" s="3">
        <v>0</v>
      </c>
      <c r="F86" s="3">
        <v>0</v>
      </c>
      <c r="G86" s="3">
        <v>5</v>
      </c>
      <c r="H86" s="3">
        <v>191.6</v>
      </c>
      <c r="I86" s="3" t="s">
        <v>474</v>
      </c>
      <c r="J86" s="3">
        <v>555</v>
      </c>
    </row>
    <row r="87" spans="1:10">
      <c r="A87" s="3" t="s">
        <v>162</v>
      </c>
      <c r="B87" s="3" t="s">
        <v>163</v>
      </c>
      <c r="C87" s="3" t="s">
        <v>149</v>
      </c>
      <c r="D87" s="3" t="s">
        <v>438</v>
      </c>
      <c r="E87" s="3">
        <v>0</v>
      </c>
      <c r="F87" s="3">
        <v>0</v>
      </c>
      <c r="G87" s="3">
        <v>4</v>
      </c>
      <c r="H87" s="3">
        <v>596.6</v>
      </c>
      <c r="I87" s="3" t="s">
        <v>474</v>
      </c>
      <c r="J87" s="3">
        <v>1620</v>
      </c>
    </row>
    <row r="88" spans="1:10">
      <c r="A88" s="3" t="s">
        <v>174</v>
      </c>
      <c r="B88" s="3" t="s">
        <v>175</v>
      </c>
      <c r="C88" s="3" t="s">
        <v>149</v>
      </c>
      <c r="D88" s="3" t="s">
        <v>438</v>
      </c>
      <c r="E88" s="3">
        <v>0</v>
      </c>
      <c r="F88" s="3">
        <v>0</v>
      </c>
      <c r="G88" s="3">
        <v>3</v>
      </c>
      <c r="H88" s="3">
        <v>603.1</v>
      </c>
      <c r="I88" s="3" t="s">
        <v>474</v>
      </c>
      <c r="J88" s="3">
        <v>1547</v>
      </c>
    </row>
    <row r="89" spans="1:10">
      <c r="A89" s="3" t="s">
        <v>187</v>
      </c>
      <c r="B89" s="3" t="s">
        <v>188</v>
      </c>
      <c r="C89" s="3" t="s">
        <v>149</v>
      </c>
      <c r="D89" s="3" t="s">
        <v>438</v>
      </c>
      <c r="E89" s="3">
        <v>0</v>
      </c>
      <c r="F89" s="3">
        <v>0</v>
      </c>
      <c r="G89" s="3">
        <v>4</v>
      </c>
      <c r="H89" s="3">
        <v>203.4</v>
      </c>
      <c r="I89" s="3" t="s">
        <v>474</v>
      </c>
      <c r="J89" s="3">
        <v>556</v>
      </c>
    </row>
    <row r="90" spans="1:10">
      <c r="A90" s="3" t="s">
        <v>213</v>
      </c>
      <c r="B90" s="3" t="s">
        <v>214</v>
      </c>
      <c r="C90" s="3" t="s">
        <v>149</v>
      </c>
      <c r="D90" s="3" t="s">
        <v>438</v>
      </c>
      <c r="E90" s="3">
        <v>10</v>
      </c>
      <c r="F90" s="3">
        <v>0.6</v>
      </c>
      <c r="G90" s="3">
        <v>7</v>
      </c>
      <c r="H90" s="3">
        <v>118.5</v>
      </c>
      <c r="I90" s="3" t="s">
        <v>474</v>
      </c>
      <c r="J90" s="3">
        <v>375</v>
      </c>
    </row>
    <row r="91" spans="1:10">
      <c r="A91" s="3" t="s">
        <v>224</v>
      </c>
      <c r="B91" s="3" t="s">
        <v>225</v>
      </c>
      <c r="C91" s="3" t="s">
        <v>149</v>
      </c>
      <c r="D91" s="3" t="s">
        <v>438</v>
      </c>
      <c r="E91" s="3">
        <v>0</v>
      </c>
      <c r="F91" s="3">
        <v>0</v>
      </c>
      <c r="G91" s="3">
        <v>4</v>
      </c>
      <c r="H91" s="3">
        <v>447.6</v>
      </c>
      <c r="I91" s="3" t="s">
        <v>474</v>
      </c>
      <c r="J91" s="3">
        <v>1213</v>
      </c>
    </row>
    <row r="92" spans="1:10">
      <c r="A92" s="3" t="s">
        <v>226</v>
      </c>
      <c r="B92" s="3" t="s">
        <v>227</v>
      </c>
      <c r="C92" s="3" t="s">
        <v>149</v>
      </c>
      <c r="D92" s="3" t="s">
        <v>438</v>
      </c>
      <c r="E92" s="3">
        <v>0</v>
      </c>
      <c r="F92" s="3">
        <v>0</v>
      </c>
      <c r="G92" s="3">
        <v>4</v>
      </c>
      <c r="H92" s="3">
        <v>333</v>
      </c>
      <c r="I92" s="3" t="s">
        <v>474</v>
      </c>
      <c r="J92" s="3">
        <v>904</v>
      </c>
    </row>
    <row r="93" spans="1:10">
      <c r="A93" s="3" t="s">
        <v>236</v>
      </c>
      <c r="B93" s="3" t="s">
        <v>237</v>
      </c>
      <c r="C93" s="3" t="s">
        <v>149</v>
      </c>
      <c r="D93" s="3" t="s">
        <v>438</v>
      </c>
      <c r="E93" s="3">
        <v>0</v>
      </c>
      <c r="F93" s="3">
        <v>0</v>
      </c>
      <c r="G93" s="3">
        <v>10</v>
      </c>
      <c r="H93" s="3">
        <v>135.5</v>
      </c>
      <c r="I93" s="3" t="s">
        <v>474</v>
      </c>
      <c r="J93" s="3">
        <v>501</v>
      </c>
    </row>
    <row r="94" spans="1:10">
      <c r="A94" s="3" t="s">
        <v>249</v>
      </c>
      <c r="B94" s="3" t="s">
        <v>250</v>
      </c>
      <c r="C94" s="3" t="s">
        <v>244</v>
      </c>
      <c r="D94" s="3" t="s">
        <v>438</v>
      </c>
      <c r="E94" s="3">
        <v>11</v>
      </c>
      <c r="F94" s="3">
        <v>1</v>
      </c>
      <c r="G94" s="3">
        <v>5</v>
      </c>
      <c r="H94" s="3">
        <v>93.6</v>
      </c>
      <c r="I94" s="3" t="s">
        <v>474</v>
      </c>
      <c r="J94" s="3">
        <v>262</v>
      </c>
    </row>
    <row r="95" spans="1:10">
      <c r="A95" s="3" t="s">
        <v>251</v>
      </c>
      <c r="B95" s="3" t="s">
        <v>252</v>
      </c>
      <c r="C95" s="3" t="s">
        <v>244</v>
      </c>
      <c r="D95" s="3" t="s">
        <v>438</v>
      </c>
      <c r="E95" s="3">
        <v>42</v>
      </c>
      <c r="F95" s="3">
        <v>1.1</v>
      </c>
      <c r="G95" s="3">
        <v>7</v>
      </c>
      <c r="H95" s="3">
        <v>336.2</v>
      </c>
      <c r="I95" s="3" t="s">
        <v>474</v>
      </c>
      <c r="J95" s="3">
        <v>1030</v>
      </c>
    </row>
    <row r="96" spans="1:10">
      <c r="A96" s="3" t="s">
        <v>264</v>
      </c>
      <c r="B96" s="3" t="s">
        <v>265</v>
      </c>
      <c r="C96" s="3" t="s">
        <v>244</v>
      </c>
      <c r="D96" s="3" t="s">
        <v>438</v>
      </c>
      <c r="E96" s="3">
        <v>0</v>
      </c>
      <c r="F96" s="3">
        <v>0</v>
      </c>
      <c r="G96" s="3">
        <v>5</v>
      </c>
      <c r="H96" s="3">
        <v>366.1</v>
      </c>
      <c r="I96" s="3" t="s">
        <v>474</v>
      </c>
      <c r="J96" s="3">
        <v>1037</v>
      </c>
    </row>
    <row r="97" spans="1:10">
      <c r="A97" s="3" t="s">
        <v>278</v>
      </c>
      <c r="B97" s="3" t="s">
        <v>279</v>
      </c>
      <c r="C97" s="3" t="s">
        <v>244</v>
      </c>
      <c r="D97" s="3" t="s">
        <v>438</v>
      </c>
      <c r="E97" s="3">
        <v>18</v>
      </c>
      <c r="F97" s="3">
        <v>2</v>
      </c>
      <c r="G97" s="3">
        <v>14</v>
      </c>
      <c r="H97" s="3">
        <v>71</v>
      </c>
      <c r="I97" s="3" t="s">
        <v>474</v>
      </c>
      <c r="J97" s="3">
        <v>292</v>
      </c>
    </row>
    <row r="98" spans="1:10">
      <c r="A98" s="3" t="s">
        <v>280</v>
      </c>
      <c r="B98" s="3" t="s">
        <v>281</v>
      </c>
      <c r="C98" s="3" t="s">
        <v>244</v>
      </c>
      <c r="D98" s="3" t="s">
        <v>438</v>
      </c>
      <c r="E98" s="3">
        <v>0</v>
      </c>
      <c r="F98" s="3">
        <v>0</v>
      </c>
      <c r="G98" s="3">
        <v>3</v>
      </c>
      <c r="H98" s="3">
        <v>247.7</v>
      </c>
      <c r="I98" s="3" t="s">
        <v>474</v>
      </c>
      <c r="J98" s="3">
        <v>639</v>
      </c>
    </row>
    <row r="99" spans="1:10">
      <c r="A99" s="3" t="s">
        <v>282</v>
      </c>
      <c r="B99" s="3" t="s">
        <v>283</v>
      </c>
      <c r="C99" s="3" t="s">
        <v>244</v>
      </c>
      <c r="D99" s="3" t="s">
        <v>438</v>
      </c>
      <c r="E99" s="3">
        <v>0</v>
      </c>
      <c r="F99" s="3">
        <v>0</v>
      </c>
      <c r="G99" s="3">
        <v>3</v>
      </c>
      <c r="H99" s="3">
        <v>136</v>
      </c>
      <c r="I99" s="3" t="s">
        <v>474</v>
      </c>
      <c r="J99" s="3">
        <v>352</v>
      </c>
    </row>
    <row r="100" spans="1:10">
      <c r="A100" s="3" t="s">
        <v>290</v>
      </c>
      <c r="B100" s="3" t="s">
        <v>291</v>
      </c>
      <c r="C100" s="3" t="s">
        <v>244</v>
      </c>
      <c r="D100" s="3" t="s">
        <v>438</v>
      </c>
      <c r="E100" s="3">
        <v>0</v>
      </c>
      <c r="F100" s="3">
        <v>0</v>
      </c>
      <c r="G100" s="3">
        <v>3</v>
      </c>
      <c r="H100" s="3">
        <v>391.1</v>
      </c>
      <c r="I100" s="3" t="s">
        <v>474</v>
      </c>
      <c r="J100" s="3">
        <v>996</v>
      </c>
    </row>
    <row r="101" spans="1:10">
      <c r="A101" s="3" t="s">
        <v>296</v>
      </c>
      <c r="B101" s="3" t="s">
        <v>297</v>
      </c>
      <c r="C101" s="3" t="s">
        <v>244</v>
      </c>
      <c r="D101" s="3" t="s">
        <v>438</v>
      </c>
      <c r="E101" s="3">
        <v>26</v>
      </c>
      <c r="F101" s="3">
        <v>0.9</v>
      </c>
      <c r="G101" s="3">
        <v>5</v>
      </c>
      <c r="H101" s="3">
        <v>234.8</v>
      </c>
      <c r="I101" s="3" t="s">
        <v>474</v>
      </c>
      <c r="J101" s="3">
        <v>650</v>
      </c>
    </row>
    <row r="102" spans="1:10">
      <c r="A102" s="3" t="s">
        <v>300</v>
      </c>
      <c r="B102" s="3" t="s">
        <v>301</v>
      </c>
      <c r="C102" s="3" t="s">
        <v>244</v>
      </c>
      <c r="D102" s="3" t="s">
        <v>438</v>
      </c>
      <c r="E102" s="3">
        <v>20</v>
      </c>
      <c r="F102" s="3">
        <v>0.5</v>
      </c>
      <c r="G102" s="3">
        <v>7</v>
      </c>
      <c r="H102" s="3">
        <v>394.6</v>
      </c>
      <c r="I102" s="3" t="s">
        <v>474</v>
      </c>
      <c r="J102" s="3">
        <v>1235</v>
      </c>
    </row>
    <row r="103" spans="1:10">
      <c r="A103" s="3" t="s">
        <v>303</v>
      </c>
      <c r="B103" s="3" t="s">
        <v>304</v>
      </c>
      <c r="C103" s="3" t="s">
        <v>244</v>
      </c>
      <c r="D103" s="3" t="s">
        <v>438</v>
      </c>
      <c r="E103" s="3">
        <v>0</v>
      </c>
      <c r="F103" s="3">
        <v>0</v>
      </c>
      <c r="G103" s="3">
        <v>3</v>
      </c>
      <c r="H103" s="3">
        <v>339.2</v>
      </c>
      <c r="I103" s="3" t="s">
        <v>474</v>
      </c>
      <c r="J103" s="3">
        <v>867</v>
      </c>
    </row>
    <row r="104" spans="1:10">
      <c r="A104" s="3" t="s">
        <v>320</v>
      </c>
      <c r="B104" s="3" t="s">
        <v>321</v>
      </c>
      <c r="C104" s="3" t="s">
        <v>316</v>
      </c>
      <c r="D104" s="3" t="s">
        <v>438</v>
      </c>
      <c r="E104" s="3">
        <v>0</v>
      </c>
      <c r="F104" s="3">
        <v>0</v>
      </c>
      <c r="G104" s="3">
        <v>3</v>
      </c>
      <c r="H104" s="3">
        <v>600</v>
      </c>
      <c r="I104" s="3" t="s">
        <v>474</v>
      </c>
      <c r="J104" s="3">
        <v>1537</v>
      </c>
    </row>
    <row r="105" spans="1:10">
      <c r="A105" s="3" t="s">
        <v>339</v>
      </c>
      <c r="B105" s="3" t="s">
        <v>340</v>
      </c>
      <c r="C105" s="3" t="s">
        <v>316</v>
      </c>
      <c r="D105" s="3" t="s">
        <v>438</v>
      </c>
      <c r="E105" s="3">
        <v>0</v>
      </c>
      <c r="F105" s="3">
        <v>0</v>
      </c>
      <c r="G105" s="3">
        <v>5</v>
      </c>
      <c r="H105" s="3">
        <v>271.2</v>
      </c>
      <c r="I105" s="3" t="s">
        <v>474</v>
      </c>
      <c r="J105" s="3">
        <v>786</v>
      </c>
    </row>
    <row r="106" spans="1:10">
      <c r="A106" s="3" t="s">
        <v>341</v>
      </c>
      <c r="B106" s="3" t="s">
        <v>342</v>
      </c>
      <c r="C106" s="3" t="s">
        <v>316</v>
      </c>
      <c r="D106" s="3" t="s">
        <v>438</v>
      </c>
      <c r="E106" s="3">
        <v>0</v>
      </c>
      <c r="F106" s="3">
        <v>0</v>
      </c>
      <c r="G106" s="3">
        <v>3</v>
      </c>
      <c r="H106" s="3">
        <v>249.2</v>
      </c>
      <c r="I106" s="3" t="s">
        <v>474</v>
      </c>
      <c r="J106" s="3">
        <v>640</v>
      </c>
    </row>
    <row r="107" spans="1:10">
      <c r="A107" s="3" t="s">
        <v>353</v>
      </c>
      <c r="B107" s="3" t="s">
        <v>354</v>
      </c>
      <c r="C107" s="3" t="s">
        <v>316</v>
      </c>
      <c r="D107" s="3" t="s">
        <v>438</v>
      </c>
      <c r="E107" s="3">
        <v>24</v>
      </c>
      <c r="F107" s="3">
        <v>0.5</v>
      </c>
      <c r="G107" s="3">
        <v>14</v>
      </c>
      <c r="H107" s="3">
        <v>415</v>
      </c>
      <c r="I107" s="3" t="s">
        <v>474</v>
      </c>
      <c r="J107" s="3">
        <v>1746</v>
      </c>
    </row>
    <row r="108" spans="1:10">
      <c r="A108" s="3" t="s">
        <v>355</v>
      </c>
      <c r="B108" s="3" t="s">
        <v>356</v>
      </c>
      <c r="C108" s="3" t="s">
        <v>316</v>
      </c>
      <c r="D108" s="3" t="s">
        <v>438</v>
      </c>
      <c r="E108" s="3">
        <v>0</v>
      </c>
      <c r="F108" s="3">
        <v>0</v>
      </c>
      <c r="G108" s="3">
        <v>10</v>
      </c>
      <c r="H108" s="3">
        <v>193.1</v>
      </c>
      <c r="I108" s="3" t="s">
        <v>474</v>
      </c>
      <c r="J108" s="3">
        <v>704</v>
      </c>
    </row>
    <row r="109" spans="1:10">
      <c r="A109" s="3" t="s">
        <v>361</v>
      </c>
      <c r="B109" s="3" t="s">
        <v>362</v>
      </c>
      <c r="C109" s="3" t="s">
        <v>316</v>
      </c>
      <c r="D109" s="3" t="s">
        <v>438</v>
      </c>
      <c r="E109" s="3">
        <v>39</v>
      </c>
      <c r="F109" s="3">
        <v>1.1</v>
      </c>
      <c r="G109" s="3">
        <v>7</v>
      </c>
      <c r="H109" s="3">
        <v>335.5</v>
      </c>
      <c r="I109" s="3" t="s">
        <v>474</v>
      </c>
      <c r="J109" s="3">
        <v>1027</v>
      </c>
    </row>
    <row r="110" spans="1:10">
      <c r="A110" s="3" t="s">
        <v>367</v>
      </c>
      <c r="B110" s="3" t="s">
        <v>368</v>
      </c>
      <c r="C110" s="3" t="s">
        <v>316</v>
      </c>
      <c r="D110" s="3" t="s">
        <v>438</v>
      </c>
      <c r="E110" s="3">
        <v>0</v>
      </c>
      <c r="F110" s="3">
        <v>0</v>
      </c>
      <c r="G110" s="3">
        <v>10</v>
      </c>
      <c r="H110" s="3">
        <v>337</v>
      </c>
      <c r="I110" s="3" t="s">
        <v>474</v>
      </c>
      <c r="J110" s="3">
        <v>1233</v>
      </c>
    </row>
    <row r="111" spans="1:10">
      <c r="A111" s="3" t="s">
        <v>372</v>
      </c>
      <c r="B111" s="3" t="s">
        <v>373</v>
      </c>
      <c r="C111" s="3" t="s">
        <v>316</v>
      </c>
      <c r="D111" s="3" t="s">
        <v>438</v>
      </c>
      <c r="E111" s="3">
        <v>117</v>
      </c>
      <c r="F111" s="3">
        <v>1.7</v>
      </c>
      <c r="G111" s="3">
        <v>7</v>
      </c>
      <c r="H111" s="3">
        <v>599.6</v>
      </c>
      <c r="I111" s="3" t="s">
        <v>474</v>
      </c>
      <c r="J111" s="3">
        <v>1796</v>
      </c>
    </row>
    <row r="112" spans="1:10">
      <c r="A112" s="3" t="s">
        <v>375</v>
      </c>
      <c r="B112" s="3" t="s">
        <v>376</v>
      </c>
      <c r="C112" s="3" t="s">
        <v>316</v>
      </c>
      <c r="D112" s="3" t="s">
        <v>438</v>
      </c>
      <c r="E112" s="3">
        <v>0</v>
      </c>
      <c r="F112" s="3">
        <v>0</v>
      </c>
      <c r="G112" s="3">
        <v>5</v>
      </c>
      <c r="H112" s="3">
        <v>393</v>
      </c>
      <c r="I112" s="3" t="s">
        <v>474</v>
      </c>
      <c r="J112" s="3">
        <v>1128</v>
      </c>
    </row>
    <row r="113" spans="1:10">
      <c r="A113" s="3" t="s">
        <v>377</v>
      </c>
      <c r="B113" s="3" t="s">
        <v>378</v>
      </c>
      <c r="C113" s="3" t="s">
        <v>379</v>
      </c>
      <c r="D113" s="3" t="s">
        <v>438</v>
      </c>
      <c r="E113" s="3">
        <v>0</v>
      </c>
      <c r="F113" s="3">
        <v>0</v>
      </c>
      <c r="G113" s="3">
        <v>4</v>
      </c>
      <c r="H113" s="3">
        <v>598.9</v>
      </c>
      <c r="I113" s="3" t="s">
        <v>474</v>
      </c>
      <c r="J113" s="3">
        <v>1637</v>
      </c>
    </row>
    <row r="114" spans="1:10">
      <c r="A114" s="3" t="s">
        <v>380</v>
      </c>
      <c r="B114" s="3" t="s">
        <v>381</v>
      </c>
      <c r="C114" s="3" t="s">
        <v>379</v>
      </c>
      <c r="D114" s="3" t="s">
        <v>438</v>
      </c>
      <c r="E114" s="3">
        <v>12</v>
      </c>
      <c r="F114" s="3">
        <v>0.4</v>
      </c>
      <c r="G114" s="3">
        <v>3</v>
      </c>
      <c r="H114" s="3">
        <v>299.9</v>
      </c>
      <c r="I114" s="3" t="s">
        <v>474</v>
      </c>
      <c r="J114" s="3">
        <v>755</v>
      </c>
    </row>
    <row r="115" spans="1:10">
      <c r="A115" s="3" t="s">
        <v>382</v>
      </c>
      <c r="B115" s="3" t="s">
        <v>383</v>
      </c>
      <c r="C115" s="3" t="s">
        <v>379</v>
      </c>
      <c r="D115" s="3" t="s">
        <v>438</v>
      </c>
      <c r="E115" s="3">
        <v>0</v>
      </c>
      <c r="F115" s="3">
        <v>0</v>
      </c>
      <c r="G115" s="3">
        <v>3</v>
      </c>
      <c r="H115" s="3">
        <v>406.8</v>
      </c>
      <c r="I115" s="3" t="s">
        <v>474</v>
      </c>
      <c r="J115" s="3">
        <v>1037</v>
      </c>
    </row>
    <row r="116" spans="1:10">
      <c r="A116" s="3" t="s">
        <v>395</v>
      </c>
      <c r="B116" s="3" t="s">
        <v>396</v>
      </c>
      <c r="C116" s="3" t="s">
        <v>379</v>
      </c>
      <c r="D116" s="3" t="s">
        <v>438</v>
      </c>
      <c r="E116" s="3">
        <v>0</v>
      </c>
      <c r="F116" s="3">
        <v>0</v>
      </c>
      <c r="G116" s="3">
        <v>3</v>
      </c>
      <c r="H116" s="3">
        <v>608.4</v>
      </c>
      <c r="I116" s="3" t="s">
        <v>474</v>
      </c>
      <c r="J116" s="3">
        <v>1584</v>
      </c>
    </row>
    <row r="117" spans="1:10">
      <c r="A117" s="3" t="s">
        <v>397</v>
      </c>
      <c r="B117" s="3" t="s">
        <v>398</v>
      </c>
      <c r="C117" s="3" t="s">
        <v>379</v>
      </c>
      <c r="D117" s="3" t="s">
        <v>438</v>
      </c>
      <c r="E117" s="3">
        <v>0</v>
      </c>
      <c r="F117" s="3">
        <v>0</v>
      </c>
      <c r="G117" s="3">
        <v>3</v>
      </c>
      <c r="H117" s="3">
        <v>882.2</v>
      </c>
      <c r="I117" s="3" t="s">
        <v>474</v>
      </c>
      <c r="J117" s="3">
        <v>2272</v>
      </c>
    </row>
    <row r="118" spans="1:10">
      <c r="A118" s="3" t="s">
        <v>418</v>
      </c>
      <c r="B118" s="3" t="s">
        <v>419</v>
      </c>
      <c r="C118" s="3" t="s">
        <v>379</v>
      </c>
      <c r="D118" s="3" t="s">
        <v>438</v>
      </c>
      <c r="E118" s="3">
        <v>0</v>
      </c>
      <c r="F118" s="3">
        <v>0</v>
      </c>
      <c r="G118" s="3">
        <v>4</v>
      </c>
      <c r="H118" s="3">
        <v>598.6</v>
      </c>
      <c r="I118" s="3" t="s">
        <v>474</v>
      </c>
      <c r="J118" s="3">
        <v>1639</v>
      </c>
    </row>
    <row r="119" spans="1:10">
      <c r="A119" s="3" t="s">
        <v>420</v>
      </c>
      <c r="B119" s="3" t="s">
        <v>421</v>
      </c>
      <c r="C119" s="3" t="s">
        <v>379</v>
      </c>
      <c r="D119" s="3" t="s">
        <v>438</v>
      </c>
      <c r="E119" s="3">
        <v>0</v>
      </c>
      <c r="F119" s="3">
        <v>0</v>
      </c>
      <c r="G119" s="3">
        <v>3</v>
      </c>
      <c r="H119" s="3">
        <v>452.5</v>
      </c>
      <c r="I119" s="3" t="s">
        <v>474</v>
      </c>
      <c r="J119" s="3">
        <v>1154</v>
      </c>
    </row>
    <row r="120" spans="1:10">
      <c r="A120" s="3" t="s">
        <v>95</v>
      </c>
      <c r="B120" s="3" t="s">
        <v>96</v>
      </c>
      <c r="C120" s="3" t="s">
        <v>90</v>
      </c>
      <c r="D120" s="3" t="s">
        <v>436</v>
      </c>
      <c r="E120" s="3">
        <v>48</v>
      </c>
      <c r="F120" s="3">
        <v>2.6</v>
      </c>
      <c r="G120" s="3">
        <v>3</v>
      </c>
      <c r="H120" s="3">
        <v>158.4</v>
      </c>
      <c r="I120" s="3" t="s">
        <v>475</v>
      </c>
      <c r="J120" s="3">
        <v>370</v>
      </c>
    </row>
    <row r="121" spans="1:10">
      <c r="A121" s="3" t="s">
        <v>131</v>
      </c>
      <c r="B121" s="3" t="s">
        <v>132</v>
      </c>
      <c r="C121" s="3" t="s">
        <v>90</v>
      </c>
      <c r="D121" s="3" t="s">
        <v>436</v>
      </c>
      <c r="E121" s="3">
        <v>10</v>
      </c>
      <c r="F121" s="3">
        <v>1.9</v>
      </c>
      <c r="G121" s="3">
        <v>3</v>
      </c>
      <c r="H121" s="3">
        <v>41.7</v>
      </c>
      <c r="I121" s="3" t="s">
        <v>475</v>
      </c>
      <c r="J121" s="3">
        <v>103</v>
      </c>
    </row>
    <row r="122" spans="1:10">
      <c r="A122" s="3" t="s">
        <v>260</v>
      </c>
      <c r="B122" s="3" t="s">
        <v>261</v>
      </c>
      <c r="C122" s="3" t="s">
        <v>244</v>
      </c>
      <c r="D122" s="3" t="s">
        <v>436</v>
      </c>
      <c r="E122" s="3">
        <v>61</v>
      </c>
      <c r="F122" s="3">
        <v>2.9</v>
      </c>
      <c r="G122" s="3">
        <v>4</v>
      </c>
      <c r="H122" s="3">
        <v>186.4</v>
      </c>
      <c r="I122" s="3" t="s">
        <v>475</v>
      </c>
      <c r="J122" s="3">
        <v>461</v>
      </c>
    </row>
    <row r="123" spans="1:10">
      <c r="A123" s="3" t="s">
        <v>104</v>
      </c>
      <c r="B123" s="3" t="s">
        <v>105</v>
      </c>
      <c r="C123" s="3" t="s">
        <v>90</v>
      </c>
      <c r="D123" s="3" t="s">
        <v>437</v>
      </c>
      <c r="E123" s="3">
        <v>31</v>
      </c>
      <c r="F123" s="3">
        <v>3.8</v>
      </c>
      <c r="G123" s="3">
        <v>4</v>
      </c>
      <c r="H123" s="3">
        <v>55</v>
      </c>
      <c r="I123" s="3" t="s">
        <v>475</v>
      </c>
      <c r="J123" s="3">
        <v>126</v>
      </c>
    </row>
    <row r="124" spans="1:10">
      <c r="A124" s="3" t="s">
        <v>88</v>
      </c>
      <c r="B124" s="3" t="s">
        <v>89</v>
      </c>
      <c r="C124" s="3" t="s">
        <v>90</v>
      </c>
      <c r="D124" s="3" t="s">
        <v>438</v>
      </c>
      <c r="E124" s="3">
        <v>62</v>
      </c>
      <c r="F124" s="3">
        <v>4.3</v>
      </c>
      <c r="G124" s="3">
        <v>7</v>
      </c>
      <c r="H124" s="3">
        <v>110.3</v>
      </c>
      <c r="I124" s="3" t="s">
        <v>475</v>
      </c>
      <c r="J124" s="3">
        <v>295</v>
      </c>
    </row>
    <row r="125" spans="1:10">
      <c r="A125" s="3" t="s">
        <v>337</v>
      </c>
      <c r="B125" s="3" t="s">
        <v>338</v>
      </c>
      <c r="C125" s="3" t="s">
        <v>316</v>
      </c>
      <c r="D125" s="3" t="s">
        <v>438</v>
      </c>
      <c r="E125" s="3">
        <v>185</v>
      </c>
      <c r="F125" s="3">
        <v>5.5</v>
      </c>
      <c r="G125" s="3">
        <v>7</v>
      </c>
      <c r="H125" s="3">
        <v>315.1</v>
      </c>
      <c r="I125" s="3" t="s">
        <v>475</v>
      </c>
      <c r="J125" s="3">
        <v>818</v>
      </c>
    </row>
    <row r="126" spans="1:10">
      <c r="A126" s="3" t="s">
        <v>275</v>
      </c>
      <c r="B126" s="3" t="s">
        <v>276</v>
      </c>
      <c r="C126" s="3" t="s">
        <v>244</v>
      </c>
      <c r="D126" s="3" t="s">
        <v>437</v>
      </c>
      <c r="E126" s="3">
        <v>86</v>
      </c>
      <c r="F126" s="3">
        <v>5.1</v>
      </c>
      <c r="G126" s="3">
        <v>5</v>
      </c>
      <c r="H126" s="3">
        <v>141.3</v>
      </c>
      <c r="I126" s="3" t="s">
        <v>476</v>
      </c>
      <c r="J126" s="3">
        <v>331</v>
      </c>
    </row>
  </sheetData>
  <conditionalFormatting sqref="I4:I126">
    <cfRule type="cellIs" dxfId="3" priority="2" operator="equal">
      <formula>"CRITICAL"</formula>
    </cfRule>
    <cfRule type="cellIs" dxfId="4" priority="3" operator="equal">
      <formula>"HIGH"</formula>
    </cfRule>
    <cfRule type="cellIs" dxfId="5" priority="4" operator="equal">
      <formula>"MEDIUM"</formula>
    </cfRule>
  </conditionalFormatting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SKU_Master</vt:lpstr>
      <vt:lpstr>Demand_Stats</vt:lpstr>
      <vt:lpstr>ABC_Analysis</vt:lpstr>
      <vt:lpstr>Reorder_Point_Calc</vt:lpstr>
      <vt:lpstr>Fill_Rate_Impact</vt:lpstr>
      <vt:lpstr>Forecast_Model</vt:lpstr>
      <vt:lpstr>Reorder_Alerts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CHAKRABORTY</cp:lastModifiedBy>
  <cp:revision>1</cp:revision>
  <dcterms:created xsi:type="dcterms:W3CDTF">2026-08-07T10:34:00Z</dcterms:created>
  <dcterms:modified xsi:type="dcterms:W3CDTF">2026-08-08T05:28:37Z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5553B21CF9DE4D0699A15938FD9F84D6_12</vt:lpwstr>
  </property>
  <property fmtid="{D5CDD505-2E9C-101B-9397-08002B2CF9AE}" pid="3" name="KSOProductBuildVer">
    <vt:lpwstr>2057-12.2.0.23206</vt:lpwstr>
  </property>
</Properties>
</file>